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FY 25-26 statrment 1" sheetId="1" r:id="rId5"/>
  </sheets>
  <definedNames/>
  <calcPr/>
</workbook>
</file>

<file path=xl/sharedStrings.xml><?xml version="1.0" encoding="utf-8"?>
<sst xmlns="http://schemas.openxmlformats.org/spreadsheetml/2006/main" count="1759" uniqueCount="1391">
  <si>
    <r>
      <rPr>
        <rFont val="Arial Black"/>
        <color theme="1"/>
        <sz val="7.0"/>
      </rPr>
      <t>Transaction Date</t>
    </r>
  </si>
  <si>
    <r>
      <rPr>
        <rFont val="Arial Black"/>
        <color theme="1"/>
        <sz val="7.0"/>
      </rPr>
      <t>Value Date</t>
    </r>
  </si>
  <si>
    <r>
      <rPr>
        <rFont val="Arial Black"/>
        <color theme="1"/>
        <sz val="7.0"/>
      </rPr>
      <t>Cheque No/ Reference No</t>
    </r>
  </si>
  <si>
    <r>
      <rPr>
        <rFont val="Arial Black"/>
        <color theme="1"/>
        <sz val="7.0"/>
      </rPr>
      <t>Description</t>
    </r>
  </si>
  <si>
    <r>
      <rPr>
        <rFont val="Arial Black"/>
        <color theme="1"/>
        <sz val="7.0"/>
      </rPr>
      <t>Withdrawals</t>
    </r>
  </si>
  <si>
    <r>
      <rPr>
        <rFont val="Arial Black"/>
        <color theme="1"/>
        <sz val="7.0"/>
      </rPr>
      <t>Deposits</t>
    </r>
  </si>
  <si>
    <t>Expense description</t>
  </si>
  <si>
    <r>
      <rPr>
        <rFont val="Lucida Sans"/>
        <color theme="1"/>
        <sz val="7.0"/>
      </rPr>
      <t xml:space="preserve">IMPS/ NA/ XXXX7478/ RRN:509112104959/ 17288761738733777504/ KOTAK MAHINDRA BANK
</t>
    </r>
    <r>
      <rPr>
        <rFont val="Lucida Sans"/>
        <color theme="1"/>
        <sz val="7.0"/>
      </rPr>
      <t>LIMITED/ Atharv Sagar Shelke/ MOBTXN</t>
    </r>
  </si>
  <si>
    <t>Brochure</t>
  </si>
  <si>
    <r>
      <rPr>
        <rFont val="Lucida Sans"/>
        <color theme="1"/>
        <sz val="7.0"/>
      </rPr>
      <t>PUNBN62025040858392469</t>
    </r>
  </si>
  <si>
    <r>
      <rPr>
        <rFont val="Lucida Sans"/>
        <color theme="1"/>
        <sz val="7.0"/>
      </rPr>
      <t>NEFT Cr-PUNB0520410-RTGS INTERBANK ACCOUNT-</t>
    </r>
  </si>
  <si>
    <t>Subsidy external</t>
  </si>
  <si>
    <t>Kisan 2025 Expenses</t>
  </si>
  <si>
    <t>Marketing Expenses</t>
  </si>
  <si>
    <t>Salaries</t>
  </si>
  <si>
    <t>Consultancy fees</t>
  </si>
  <si>
    <t>Legal fees</t>
  </si>
  <si>
    <t>Food</t>
  </si>
  <si>
    <t>Platform fees</t>
  </si>
  <si>
    <t>Equipments</t>
  </si>
  <si>
    <t>Convences</t>
  </si>
  <si>
    <t xml:space="preserve">JPT </t>
  </si>
  <si>
    <t>Donation</t>
  </si>
  <si>
    <r>
      <rPr>
        <rFont val="Lucida Sans"/>
        <color theme="1"/>
        <sz val="7.0"/>
      </rPr>
      <t>ROLLING ENERGY OPC PRIVAT- PUNBN62025040858392469</t>
    </r>
  </si>
  <si>
    <r>
      <rPr>
        <rFont val="Lucida Sans"/>
        <color theme="1"/>
        <sz val="7.0"/>
      </rPr>
      <t xml:space="preserve">IMPS/ NA/ XXXX1343/ RRN:510419340168/ 28757507673196199557/ KOTAK MAHINDRA BANK
</t>
    </r>
    <r>
      <rPr>
        <rFont val="Lucida Sans"/>
        <color theme="1"/>
        <sz val="7.0"/>
      </rPr>
      <t>LIMITED/ Tushar Mane/ MOBTXN</t>
    </r>
  </si>
  <si>
    <t>Subisdy External</t>
  </si>
  <si>
    <r>
      <rPr>
        <rFont val="Lucida Sans"/>
        <color theme="1"/>
        <sz val="7.0"/>
      </rPr>
      <t xml:space="preserve">IMPS/ NA/ XXXX1270/ RRN:510916276924/ PA36649466238190658/ STATE BANK OF INDIA/ HASMUKH MEHTA AND CO PRO HASMUKH G / Select
</t>
    </r>
    <r>
      <rPr>
        <rFont val="Lucida Sans"/>
        <color theme="1"/>
        <sz val="7.0"/>
      </rPr>
      <t>rem</t>
    </r>
  </si>
  <si>
    <t>CA fees</t>
  </si>
  <si>
    <r>
      <rPr>
        <rFont val="Lucida Sans"/>
        <color theme="1"/>
        <sz val="7.0"/>
      </rPr>
      <t>MAHBN12025042811450819</t>
    </r>
  </si>
  <si>
    <r>
      <rPr>
        <rFont val="Lucida Sans"/>
        <color theme="1"/>
        <sz val="7.0"/>
      </rPr>
      <t xml:space="preserve">NEFT Cr-MAHB0000447-DATE ENGINEERING INDIA
</t>
    </r>
    <r>
      <rPr>
        <rFont val="Lucida Sans"/>
        <color theme="1"/>
        <sz val="7.0"/>
      </rPr>
      <t>PR-rolling energy Opc privat- MAHBN12025042811450819</t>
    </r>
  </si>
  <si>
    <t>Ekdant advance</t>
  </si>
  <si>
    <t>Total Expenses</t>
  </si>
  <si>
    <r>
      <rPr>
        <rFont val="Lucida Sans"/>
        <color theme="1"/>
        <sz val="7.0"/>
      </rPr>
      <t xml:space="preserve">IMPS/ NA/ XXXX1343/ RRN:512618082390/ 18426285104016203248/ KOTAK MAHINDRA BANK
</t>
    </r>
    <r>
      <rPr>
        <rFont val="Lucida Sans"/>
        <color theme="1"/>
        <sz val="7.0"/>
      </rPr>
      <t>LIMITED/ Tushar Mane/ Fabrication advance</t>
    </r>
  </si>
  <si>
    <t>Ekdant fabrication adv</t>
  </si>
  <si>
    <r>
      <rPr>
        <rFont val="Lucida Sans"/>
        <color theme="1"/>
        <sz val="7.0"/>
      </rPr>
      <t xml:space="preserve">IMPS/ NA/ XXXX2101/ RRN:513217302707/ PA28282507503173529/ STATE BANK OF INDIA/
</t>
    </r>
    <r>
      <rPr>
        <rFont val="Lucida Sans"/>
        <color theme="1"/>
        <sz val="7.0"/>
      </rPr>
      <t>Yuvraj Ranjit Rathod/ Borewell Advance</t>
    </r>
  </si>
  <si>
    <t>Prayagdham borwell</t>
  </si>
  <si>
    <r>
      <rPr>
        <rFont val="Lucida Sans"/>
        <color theme="1"/>
        <sz val="7.0"/>
      </rPr>
      <t>MAHBN12025051413203752</t>
    </r>
  </si>
  <si>
    <r>
      <rPr>
        <rFont val="Lucida Sans"/>
        <color theme="1"/>
        <sz val="7.0"/>
      </rPr>
      <t xml:space="preserve">NEFT Cr-MAHB0000447-DATE ENGINEERING INDIA
</t>
    </r>
    <r>
      <rPr>
        <rFont val="Lucida Sans"/>
        <color theme="1"/>
        <sz val="7.0"/>
      </rPr>
      <t>PR-rolling energy Opc privat- MAHBN12025051413203752</t>
    </r>
  </si>
  <si>
    <t>Prayagdham Advance</t>
  </si>
  <si>
    <t>External Transactions</t>
  </si>
  <si>
    <r>
      <rPr>
        <rFont val="Lucida Sans"/>
        <color theme="1"/>
        <sz val="7.0"/>
      </rPr>
      <t xml:space="preserve">IMPS/ NA/ XXXX1343/ RRN:513513288732/ 26024159920193429538/ KOTAK MAHINDRA BANK
</t>
    </r>
    <r>
      <rPr>
        <rFont val="Lucida Sans"/>
        <color theme="1"/>
        <sz val="7.0"/>
      </rPr>
      <t>LIMITED/ Tushar Mane/ Ekdant site second paymen</t>
    </r>
  </si>
  <si>
    <t>Ekdant Fabrication final</t>
  </si>
  <si>
    <t>Date</t>
  </si>
  <si>
    <t>Purpose</t>
  </si>
  <si>
    <t xml:space="preserve">Credit </t>
  </si>
  <si>
    <t>Debit</t>
  </si>
  <si>
    <t>Balance</t>
  </si>
  <si>
    <r>
      <rPr>
        <rFont val="Lucida Sans"/>
        <color theme="1"/>
        <sz val="7.0"/>
      </rPr>
      <t xml:space="preserve">IMPS/ NA/ XXXX2101/ RRN:513609150511/ 26751472007899309540/ STATE BANK OF INDIA/
</t>
    </r>
    <r>
      <rPr>
        <rFont val="Lucida Sans"/>
        <color theme="1"/>
        <sz val="7.0"/>
      </rPr>
      <t>Yuvraj Ranjit Rathod/ Pragyadham Hospital adva</t>
    </r>
  </si>
  <si>
    <t>Prayagdham electrical advance</t>
  </si>
  <si>
    <t>08 Apr 2025 - 14 Apr 2025</t>
  </si>
  <si>
    <t>Subsidy External TM</t>
  </si>
  <si>
    <r>
      <rPr>
        <rFont val="Lucida Sans"/>
        <color theme="1"/>
        <sz val="7.0"/>
      </rPr>
      <t xml:space="preserve">IMPS/ NA/ XXXX1343/ RRN:513616386725/ 26987495583895853380/ KOTAK MAHINDRA BANK
</t>
    </r>
    <r>
      <rPr>
        <rFont val="Lucida Sans"/>
        <color theme="1"/>
        <sz val="7.0"/>
      </rPr>
      <t>LIMITED/ Tushar Mane/ MSEB liasoning Sawant mah</t>
    </r>
  </si>
  <si>
    <t>Mseb liason Mahtma soc</t>
  </si>
  <si>
    <t>6 Jun 2025-6 Jun 2025</t>
  </si>
  <si>
    <r>
      <rPr>
        <rFont val="Lucida Sans"/>
        <color theme="1"/>
        <sz val="7.0"/>
      </rPr>
      <t>0517i7574085651</t>
    </r>
  </si>
  <si>
    <r>
      <rPr>
        <rFont val="Lucida Sans"/>
        <color theme="1"/>
        <sz val="7.0"/>
      </rPr>
      <t>NEFT Cr-IBKL0NEFT01-SARVESH INGENIEUR PVT LTD- ROLLING ENERGY OPC PVT LT-0517i7574085651</t>
    </r>
  </si>
  <si>
    <t>Mahtma soc first payment</t>
  </si>
  <si>
    <t>10-Jun-2025-3-jul-2025</t>
  </si>
  <si>
    <t>External Site TM</t>
  </si>
  <si>
    <r>
      <rPr>
        <rFont val="Lucida Sans"/>
        <color theme="1"/>
        <sz val="7.0"/>
      </rPr>
      <t xml:space="preserve">IMPS/ NA/ XXXX1376/ RRN:513730220855/ PA27816968572290867/ CANARA BANK/ Dhooli
</t>
    </r>
    <r>
      <rPr>
        <rFont val="Lucida Sans"/>
        <color theme="1"/>
        <sz val="7.0"/>
      </rPr>
      <t>Controls/ Solar panel advance for Sarvesh Ingnie</t>
    </r>
  </si>
  <si>
    <t>SPV adv Mahtma Soc</t>
  </si>
  <si>
    <t>External site TM cash</t>
  </si>
  <si>
    <r>
      <rPr>
        <rFont val="Lucida Sans"/>
        <color theme="1"/>
        <sz val="7.0"/>
      </rPr>
      <t xml:space="preserve">IMPS/ NA/ XXXX3440/ RRN:513830678286/ 28783189658279765911/ STATE BANK OF INDIA/
</t>
    </r>
    <r>
      <rPr>
        <rFont val="Lucida Sans"/>
        <color theme="1"/>
        <sz val="7.0"/>
      </rPr>
      <t>Keshav M Khopade/ Fabrication Advance Sarvesh</t>
    </r>
  </si>
  <si>
    <t>Fab adv Mahtma</t>
  </si>
  <si>
    <t>11-aug-2025-12-aug-2025</t>
  </si>
  <si>
    <t>Smart Light</t>
  </si>
  <si>
    <r>
      <rPr>
        <rFont val="Lucida Sans"/>
        <color theme="1"/>
        <sz val="7.0"/>
      </rPr>
      <t xml:space="preserve">IMPS/ NA/ XXXX1376/ RRN:513930980931/ 68161141704782925622/ CANARA BANK/ Dhooli
</t>
    </r>
    <r>
      <rPr>
        <rFont val="Lucida Sans"/>
        <color theme="1"/>
        <sz val="7.0"/>
      </rPr>
      <t>Controls/ Solar panels full Sarvesh</t>
    </r>
  </si>
  <si>
    <t>Mahtma soc SPV</t>
  </si>
  <si>
    <t>23-sep-2025-26-sep-2025</t>
  </si>
  <si>
    <t>SD Smart Board</t>
  </si>
  <si>
    <r>
      <rPr>
        <rFont val="Lucida Sans"/>
        <color theme="1"/>
        <sz val="7.0"/>
      </rPr>
      <t xml:space="preserve">IMPS/ NA/ XXXX1376/ RRN:513931114697/ 68292258494185012812/ CANARA BANK/ Dhooli
</t>
    </r>
    <r>
      <rPr>
        <rFont val="Lucida Sans"/>
        <color theme="1"/>
        <sz val="7.0"/>
      </rPr>
      <t>Controls/ 10Kw growatt sarvesh advance</t>
    </r>
  </si>
  <si>
    <t>Inv adv Mahtma soc</t>
  </si>
  <si>
    <t>08-0ct-2025-10-oct-2025</t>
  </si>
  <si>
    <t>TM External site</t>
  </si>
  <si>
    <r>
      <rPr>
        <rFont val="Lucida Sans"/>
        <color theme="1"/>
        <sz val="7.0"/>
      </rPr>
      <t>IBKLR62025052101539653</t>
    </r>
  </si>
  <si>
    <r>
      <rPr>
        <rFont val="Lucida Sans"/>
        <color theme="1"/>
        <sz val="7.0"/>
      </rPr>
      <t>RTGS Cr-IBKL0000588-SARVESH INGENIEUR PVT LTD- ROLLING ENERGY OPC PVT LT- IBKLR62025052101539653</t>
    </r>
  </si>
  <si>
    <t>Second payment Mahtma soc</t>
  </si>
  <si>
    <t>14-11-2025-14-11-2025</t>
  </si>
  <si>
    <t>3D Printer</t>
  </si>
  <si>
    <r>
      <rPr>
        <rFont val="Lucida Sans"/>
        <color theme="1"/>
        <sz val="7.0"/>
      </rPr>
      <t xml:space="preserve">IMPS/ NA/ XXXX3440/ RRN:514132552910/ 36137796973249534129/ STATE BANK OF INDIA/
</t>
    </r>
    <r>
      <rPr>
        <rFont val="Lucida Sans"/>
        <color theme="1"/>
        <sz val="7.0"/>
      </rPr>
      <t>Keshav M Khopade/ Fabrication final sarvesh</t>
    </r>
  </si>
  <si>
    <t>Fab final Mahtma soc</t>
  </si>
  <si>
    <r>
      <rPr>
        <rFont val="Lucida Sans"/>
        <color theme="1"/>
        <sz val="7.0"/>
      </rPr>
      <t xml:space="preserve">IMPS/ NA/ XXXX9687/ RRN:514132601608/ 70246117612061353836/ BANK OF MAHARASHTRA/
</t>
    </r>
    <r>
      <rPr>
        <rFont val="Lucida Sans"/>
        <color theme="1"/>
        <sz val="7.0"/>
      </rPr>
      <t>Sonal Deshmukh/ Personal kumar</t>
    </r>
  </si>
  <si>
    <t>Fab labour</t>
  </si>
  <si>
    <r>
      <rPr>
        <rFont val="Lucida Sans"/>
        <color theme="1"/>
        <sz val="7.0"/>
      </rPr>
      <t xml:space="preserve">IMPS/ NA/ XXXX2101/ RRN:514233121382/ 32225474396778834629/ STATE BANK OF INDIA/
</t>
    </r>
    <r>
      <rPr>
        <rFont val="Lucida Sans"/>
        <color theme="1"/>
        <sz val="7.0"/>
      </rPr>
      <t>Yuvraj Ranjit Rathod/ Advance 8KW mahtma socie</t>
    </r>
  </si>
  <si>
    <t>Electrical Adv Mahtma soc</t>
  </si>
  <si>
    <r>
      <rPr>
        <rFont val="Lucida Sans"/>
        <color theme="1"/>
        <sz val="7.0"/>
      </rPr>
      <t xml:space="preserve">IMPS/ NA/ XXXX1376/ RRN:514233126700/ 32230800569304056740/ CANARA BANK/ Dhooli
</t>
    </r>
    <r>
      <rPr>
        <rFont val="Lucida Sans"/>
        <color theme="1"/>
        <sz val="7.0"/>
      </rPr>
      <t>Controls/ Advance for electrical Sarvesh</t>
    </r>
  </si>
  <si>
    <t>BOM Mahtma soc</t>
  </si>
  <si>
    <t>23/05/2025</t>
  </si>
  <si>
    <t xml:space="preserve">YESI35143001601900                      </t>
  </si>
  <si>
    <t>IMPS/NA/XXXX1123/RRN:514333457311/7159230983232355120/HDFC BANK/Jaideo Prasad Tanti/Transport</t>
  </si>
  <si>
    <t>966.00</t>
  </si>
  <si>
    <t/>
  </si>
  <si>
    <t xml:space="preserve">YESI35143004720500                      </t>
  </si>
  <si>
    <t>IMPS/NA/XXXX1376/RRN:514333633540/3770853753819190234/CANARA BANK/Dhooli Controls/Full payment electrical sarvesh</t>
  </si>
  <si>
    <t>19,738.00</t>
  </si>
  <si>
    <t>Mahatma Soc Electrical dhooli controls</t>
  </si>
  <si>
    <t xml:space="preserve">YESI35143004593200                      </t>
  </si>
  <si>
    <t>IMPS/NA/XXXX1376/RRN:514333634269/32979114178359944161/CANARA BANK/Dhooli Controls/Inverter full payment sarvesh</t>
  </si>
  <si>
    <t>58,144.00</t>
  </si>
  <si>
    <t>Inverter Mahatma Soc</t>
  </si>
  <si>
    <t xml:space="preserve">YESI35143007633000                      </t>
  </si>
  <si>
    <t xml:space="preserve">IMPS/NA/XXXX1343/RRN:514333772259/63308833539352477043/KOTAK MAHINDRA BANK LIMITED/Tushar Mane/Fabrication full payment </t>
  </si>
  <si>
    <t>20,000.00</t>
  </si>
  <si>
    <t>Ekdant Fabrication</t>
  </si>
  <si>
    <t>25/05/2025</t>
  </si>
  <si>
    <t xml:space="preserve">YESI35145003575400                      </t>
  </si>
  <si>
    <t>IMPS/NA/XXXX2236/RRN:514534575763/PA34748672688163025/PUNJAB NATIONAL BANK/MAHALAXMI HARDWARE AND ELECTRICALS/Hardware s</t>
  </si>
  <si>
    <t>11,710.00</t>
  </si>
  <si>
    <t>Hardware Mahatma Soc</t>
  </si>
  <si>
    <t xml:space="preserve">YESI35145003900000                      </t>
  </si>
  <si>
    <t>IMPS/NA/XXXX1123/RRN:514534593026/64093540604350199210/HDFC BANK/Jaideo Prasad Tanti/MOBTXN</t>
  </si>
  <si>
    <t>500.00</t>
  </si>
  <si>
    <t>26/05/2025</t>
  </si>
  <si>
    <t xml:space="preserve">YESI35146005460600                      </t>
  </si>
  <si>
    <t>IMPS/NA/XXXX2101/RRN:514635071235/22337057719113835704/STATE BANK OF INDIA/Yuvraj Ranjit Rathod/Sarvesh 8KW</t>
  </si>
  <si>
    <t>7,000.00</t>
  </si>
  <si>
    <t>Labour Mahatma soc</t>
  </si>
  <si>
    <t xml:space="preserve">YESI35146002857900                      </t>
  </si>
  <si>
    <t>IMPS/NA/XXXX1376/RRN:514634939827/22195047537391318109/CANARA BANK/Dhooli Controls/Extra DC cable</t>
  </si>
  <si>
    <t>1,058.00</t>
  </si>
  <si>
    <t xml:space="preserve">BOM electricals Mahatma soc </t>
  </si>
  <si>
    <r>
      <rPr>
        <rFont val="Lucida Sans"/>
        <color theme="1"/>
        <sz val="7.0"/>
      </rPr>
      <t xml:space="preserve">IMPS/ NA/ XXXX1123/ RRN:514735527761/ 2308143418263110123/ HDFC BANK/ Jaideo Prasad
</t>
    </r>
    <r>
      <rPr>
        <rFont val="Lucida Sans"/>
        <color theme="1"/>
        <sz val="7.0"/>
      </rPr>
      <t>Tanti/ Transport</t>
    </r>
  </si>
  <si>
    <t>Transport JPT mahatma soc</t>
  </si>
  <si>
    <r>
      <rPr>
        <rFont val="Lucida Sans"/>
        <color theme="1"/>
        <sz val="7.0"/>
      </rPr>
      <t xml:space="preserve">IMPS/ NA/ XXXX1123/ RRN:514936743262/ 68076333513857435467/ HDFC BANK/ Jaideo Prasad
</t>
    </r>
    <r>
      <rPr>
        <rFont val="Lucida Sans"/>
        <color theme="1"/>
        <sz val="7.0"/>
      </rPr>
      <t>Tanti/ Transport</t>
    </r>
  </si>
  <si>
    <r>
      <rPr>
        <rFont val="Lucida Sans"/>
        <color theme="1"/>
        <sz val="7.0"/>
      </rPr>
      <t>MAHBH00914299303</t>
    </r>
  </si>
  <si>
    <r>
      <rPr>
        <rFont val="Lucida Sans"/>
        <color theme="1"/>
        <sz val="7.0"/>
      </rPr>
      <t xml:space="preserve">NEFT Cr-MAHB0000447-DATE ENGINEERING INDIA
</t>
    </r>
    <r>
      <rPr>
        <rFont val="Lucida Sans"/>
        <color theme="1"/>
        <sz val="7.0"/>
      </rPr>
      <t>PR-rolling energy Opc privat-MAHBH00914299303</t>
    </r>
  </si>
  <si>
    <t>Part 2 Ekdant site Date Engineering</t>
  </si>
  <si>
    <r>
      <rPr>
        <rFont val="Lucida Sans"/>
        <color theme="1"/>
        <sz val="7.0"/>
      </rPr>
      <t xml:space="preserve">IMPS/ NA/ XXXX2101/ RRN:514936869953/ 2813898320422072368/ STATE BANK OF INDIA/
</t>
    </r>
    <r>
      <rPr>
        <rFont val="Lucida Sans"/>
        <color theme="1"/>
        <sz val="7.0"/>
      </rPr>
      <t>Yuvraj Ranjit Rathod/ Prayagdham</t>
    </r>
  </si>
  <si>
    <t>I&amp;C Prayagdham</t>
  </si>
  <si>
    <r>
      <rPr>
        <rFont val="Lucida Sans"/>
        <color theme="1"/>
        <sz val="7.0"/>
      </rPr>
      <t>PUNBH80003130470</t>
    </r>
  </si>
  <si>
    <r>
      <rPr>
        <rFont val="Lucida Sans"/>
        <color theme="1"/>
        <sz val="7.0"/>
      </rPr>
      <t>NEFT Cr-PUNB0520410-RTGS INTERBANK ACCOUNT- ROLLING ENERGY PRIVATE LI-PUNBH80003130470</t>
    </r>
  </si>
  <si>
    <t>TM external site</t>
  </si>
  <si>
    <r>
      <rPr>
        <rFont val="Lucida Sans"/>
        <color theme="1"/>
        <sz val="7.0"/>
      </rPr>
      <t xml:space="preserve">IMPS/ NA/ XXXX1343/ RRN:515741649341/ 1650922529935116496/ KOTAK MAHINDRA BANK
</t>
    </r>
    <r>
      <rPr>
        <rFont val="Lucida Sans"/>
        <color theme="1"/>
        <sz val="7.0"/>
      </rPr>
      <t xml:space="preserve">LIMITED/ Tushar Mane/ Karnewat 3kw
</t>
    </r>
    <r>
      <rPr>
        <rFont val="Lucida Sans"/>
        <color theme="1"/>
        <sz val="7.0"/>
      </rPr>
      <t>reembersement</t>
    </r>
  </si>
  <si>
    <r>
      <rPr>
        <rFont val="Lucida Sans"/>
        <color theme="1"/>
        <sz val="7.0"/>
      </rPr>
      <t xml:space="preserve">IMPS/ NA/ XXXX6210/ RRN:515741679040/ 1703975237752395208/ AXIS BANK/ MANDA
</t>
    </r>
    <r>
      <rPr>
        <rFont val="Lucida Sans"/>
        <color theme="1"/>
        <sz val="7.0"/>
      </rPr>
      <t>TUKARAM PADVAL/ google and labour</t>
    </r>
  </si>
  <si>
    <t>Google business and labour</t>
  </si>
  <si>
    <r>
      <rPr>
        <rFont val="Lucida Sans"/>
        <color theme="1"/>
        <sz val="7.0"/>
      </rPr>
      <t>ICIf069ff79017046cd81a10a0f7b601d3dINW</t>
    </r>
  </si>
  <si>
    <r>
      <rPr>
        <rFont val="Lucida Sans"/>
        <color rgb="FF0000FF"/>
        <sz val="7.0"/>
        <u/>
      </rPr>
      <t>UPI/ 516130834696/ From:kumbharr99-1@okicici/ To:041263400006460@yesb0000412.ifsc.npci/ UPI</t>
    </r>
  </si>
  <si>
    <t>external site</t>
  </si>
  <si>
    <r>
      <rPr>
        <rFont val="Lucida Sans"/>
        <color theme="1"/>
        <sz val="7.0"/>
      </rPr>
      <t>ICIab673231cf7742d3a2a8983c21dcca9cINW</t>
    </r>
  </si>
  <si>
    <r>
      <rPr>
        <rFont val="Lucida Sans"/>
        <color rgb="FF0000FF"/>
        <sz val="7.0"/>
        <u/>
      </rPr>
      <t>UPI/ 516139341017/ From:kumbharr99-1@okicici/ To:041263400006460@yesb0000412.ifsc.npci/ UPI</t>
    </r>
  </si>
  <si>
    <r>
      <rPr>
        <rFont val="Lucida Sans"/>
        <color theme="1"/>
        <sz val="7.0"/>
      </rPr>
      <t xml:space="preserve">IMPS/ NA/ XXXX2101/ RRN:516144046302/ 505984229223024365/ STATE BANK OF INDIA/ Yuvraj
</t>
    </r>
    <r>
      <rPr>
        <rFont val="Lucida Sans"/>
        <color theme="1"/>
        <sz val="7.0"/>
      </rPr>
      <t>Ranjit Rathod/ Mahtma Full payment</t>
    </r>
  </si>
  <si>
    <t>I&amp;C mahatma soc full</t>
  </si>
  <si>
    <r>
      <rPr>
        <rFont val="Lucida Sans"/>
        <color theme="1"/>
        <sz val="7.0"/>
      </rPr>
      <t xml:space="preserve">IMPS/ NA/ XXXX2379/ RRN:516244505512/ PA58181804120255413/ AXIS BANK/ Rajendra
</t>
    </r>
    <r>
      <rPr>
        <rFont val="Lucida Sans"/>
        <color theme="1"/>
        <sz val="7.0"/>
      </rPr>
      <t>Balbhim Suryawanshi/ 17kw completion uruli</t>
    </r>
  </si>
  <si>
    <t>Soham Prayagdham I&amp;C</t>
  </si>
  <si>
    <r>
      <rPr>
        <rFont val="Lucida Sans"/>
        <color theme="1"/>
        <sz val="7.0"/>
      </rPr>
      <t xml:space="preserve">IMPS/ NA/ XXXX9687/ RRN:516647413993/ 2733570001504679933/ BANK OF MAHARASHTRA/
</t>
    </r>
    <r>
      <rPr>
        <rFont val="Lucida Sans"/>
        <color theme="1"/>
        <sz val="7.0"/>
      </rPr>
      <t>Sonal Deshmukh/ Uruli overheads</t>
    </r>
  </si>
  <si>
    <t>Uruli Overheads</t>
  </si>
  <si>
    <t>IMPS/ NA/ XXXX2379/ RRN:516647832606/"9314295143673864591/ AXIS BANK/ Rajendra
Balbhim Suryawanshi/ 66kw advance"</t>
  </si>
  <si>
    <r>
      <rPr>
        <rFont val="Lucida Sans"/>
        <color theme="1"/>
        <sz val="7.0"/>
      </rPr>
      <t xml:space="preserve">IMPS/ NA/ XXXX2379/ RRN:516647856717/ 9342334047563337073/ AXIS BANK/ Rajendra
</t>
    </r>
    <r>
      <rPr>
        <rFont val="Lucida Sans"/>
        <color theme="1"/>
        <sz val="7.0"/>
      </rPr>
      <t>Balbhim Suryawanshi/ Uruli overheads</t>
    </r>
  </si>
  <si>
    <t>Soham Prayagdham Overheads</t>
  </si>
  <si>
    <r>
      <rPr>
        <rFont val="Lucida Sans"/>
        <color theme="1"/>
        <sz val="7.0"/>
      </rPr>
      <t>SBIN125167292830</t>
    </r>
  </si>
  <si>
    <r>
      <rPr>
        <rFont val="Lucida Sans"/>
        <color theme="1"/>
        <sz val="7.0"/>
      </rPr>
      <t>NEFT Cr-SBIN0004108-SHIV DEVELOPERS-ROLLING ENERGY-SBIN125167292830</t>
    </r>
  </si>
  <si>
    <t>Park 59 Advance</t>
  </si>
  <si>
    <r>
      <rPr>
        <rFont val="Lucida Sans"/>
        <color theme="1"/>
        <sz val="7.0"/>
      </rPr>
      <t xml:space="preserve">IMPS/ NA/ XXXX2379/ RRN:516950162700/ 5201622183290615169/ AXIS BANK/ Rajendra
</t>
    </r>
    <r>
      <rPr>
        <rFont val="Lucida Sans"/>
        <color theme="1"/>
        <sz val="7.0"/>
      </rPr>
      <t>Balbhim Suryawanshi/ Uruli Prayagdham</t>
    </r>
  </si>
  <si>
    <t>prayagdham I&amp;C</t>
  </si>
  <si>
    <r>
      <rPr>
        <rFont val="Lucida Sans"/>
        <color theme="1"/>
        <sz val="7.0"/>
      </rPr>
      <t>AXLdd78ab15dea9484f97aff46d937fa1a0INW</t>
    </r>
  </si>
  <si>
    <r>
      <rPr>
        <rFont val="Lucida Sans"/>
        <sz val="7.0"/>
        <u/>
      </rPr>
      <t xml:space="preserve">UPI/ 663491445863/
</t>
    </r>
    <r>
      <rPr>
        <rFont val="Lucida Sans"/>
        <sz val="7.0"/>
        <u/>
      </rPr>
      <t xml:space="preserve">From:rajendrasuryawamshi25381@axl/ To:041263400006460@YESB0000412.ifsc.npci/
</t>
    </r>
    <r>
      <rPr>
        <rFont val="Lucida Sans"/>
        <sz val="7.0"/>
        <u/>
      </rPr>
      <t>Payment from PhonePe</t>
    </r>
  </si>
  <si>
    <t>refund due to excess payment</t>
  </si>
  <si>
    <r>
      <rPr>
        <rFont val="Lucida Sans"/>
        <color theme="1"/>
        <sz val="7.0"/>
      </rPr>
      <t xml:space="preserve">IMPS/ NA/ XXXX8029/ RRN:517051080950/ PA60557681980011998/ AU SMALL FINANCE BANK
</t>
    </r>
    <r>
      <rPr>
        <rFont val="Lucida Sans"/>
        <color theme="1"/>
        <sz val="7.0"/>
      </rPr>
      <t>LIMITED/ Ojas Phalke/ Uruli expense</t>
    </r>
  </si>
  <si>
    <t>Prayagdham visit</t>
  </si>
  <si>
    <r>
      <rPr>
        <rFont val="Lucida Sans"/>
        <color theme="1"/>
        <sz val="7.0"/>
      </rPr>
      <t>PCA:0145545301:100000000000oSJ:RAZ*Go GST Bill Ahmedabad IND20-JUN-25 11:19:07</t>
    </r>
  </si>
  <si>
    <t>CRM software</t>
  </si>
  <si>
    <r>
      <rPr>
        <rFont val="Lucida Sans"/>
        <color theme="1"/>
        <sz val="7.0"/>
      </rPr>
      <t xml:space="preserve">IMPS/ NA/ XXXX2379/ RRN:517455444436/ 9869524208257785357/ AXIS BANK/ Rajendra
</t>
    </r>
    <r>
      <rPr>
        <rFont val="Lucida Sans"/>
        <color theme="1"/>
        <sz val="7.0"/>
      </rPr>
      <t>Balbhim Suryawanshi/ Prayagdham</t>
    </r>
  </si>
  <si>
    <t>Pryagdham Electrical</t>
  </si>
  <si>
    <r>
      <rPr>
        <rFont val="Lucida Sans"/>
        <color theme="1"/>
        <sz val="7.0"/>
      </rPr>
      <t xml:space="preserve">IMPS/ NA/ XXXX1123/ RRN:517656312573/ 1388258444342486280/ HDFC BANK/ Jaideo Prasad
</t>
    </r>
    <r>
      <rPr>
        <rFont val="Lucida Sans"/>
        <color theme="1"/>
        <sz val="7.0"/>
      </rPr>
      <t>Tanti/ Transport</t>
    </r>
  </si>
  <si>
    <t>JPT transport</t>
  </si>
  <si>
    <r>
      <rPr>
        <rFont val="Lucida Sans"/>
        <color theme="1"/>
        <sz val="7.0"/>
      </rPr>
      <t>MAHBH00616820761</t>
    </r>
  </si>
  <si>
    <r>
      <rPr>
        <rFont val="Lucida Sans"/>
        <color theme="1"/>
        <sz val="7.0"/>
      </rPr>
      <t xml:space="preserve">NEFT Cr-MAHB0000447-DATE ENGINEERING INDIA
</t>
    </r>
    <r>
      <rPr>
        <rFont val="Lucida Sans"/>
        <color theme="1"/>
        <sz val="7.0"/>
      </rPr>
      <t>PR-rolling energy Opc privat-MAHBH00616820761</t>
    </r>
  </si>
  <si>
    <t>Prayagdham part 2</t>
  </si>
  <si>
    <r>
      <rPr>
        <rFont val="Lucida Sans"/>
        <color theme="1"/>
        <sz val="7.0"/>
      </rPr>
      <t xml:space="preserve">IMPS/ NA/ XXXX1123/ RRN:518259010386/ 1528870787817268313/ HDFC BANK/ Jaideo Prasad
</t>
    </r>
    <r>
      <rPr>
        <rFont val="Lucida Sans"/>
        <color theme="1"/>
        <sz val="7.0"/>
      </rPr>
      <t>Tanti/ Taxi</t>
    </r>
  </si>
  <si>
    <r>
      <rPr>
        <rFont val="Lucida Sans"/>
        <color theme="1"/>
        <sz val="7.0"/>
      </rPr>
      <t xml:space="preserve">IMPS/ NA/ XXXX1123/ RRN:518259032304/ 1548431072267915453/ HDFC BANK/ Jaideo Prasad
</t>
    </r>
    <r>
      <rPr>
        <rFont val="Lucida Sans"/>
        <color theme="1"/>
        <sz val="7.0"/>
      </rPr>
      <t>Tanti/ taxi</t>
    </r>
  </si>
  <si>
    <t>JPT Transport</t>
  </si>
  <si>
    <r>
      <rPr>
        <rFont val="Lucida Sans"/>
        <color theme="1"/>
        <sz val="7.0"/>
      </rPr>
      <t xml:space="preserve">IMPS/ NA/ XXXX3273/ RRN:518359419816/ PA23001423426025389/ ICICI BANK LIMITED/ Rahul
</t>
    </r>
    <r>
      <rPr>
        <rFont val="Lucida Sans"/>
        <color theme="1"/>
        <sz val="7.0"/>
      </rPr>
      <t>Pandurang Kumbhar/ Reimbursment</t>
    </r>
  </si>
  <si>
    <r>
      <rPr>
        <rFont val="Lucida Sans"/>
        <color theme="1"/>
        <sz val="7.0"/>
      </rPr>
      <t xml:space="preserve">IMPS/ NA/ XXXX1343/ RRN:518460024631/ 3270330259573415357/ KOTAK MAHINDRA BANK
</t>
    </r>
    <r>
      <rPr>
        <rFont val="Lucida Sans"/>
        <color theme="1"/>
        <sz val="7.0"/>
      </rPr>
      <t>LIMITED/ Tushar Mane/ MOBTXN</t>
    </r>
  </si>
  <si>
    <t>MSEB Liason</t>
  </si>
  <si>
    <r>
      <rPr>
        <rFont val="Lucida Sans"/>
        <color theme="1"/>
        <sz val="7.0"/>
      </rPr>
      <t xml:space="preserve">IMPS/ NA/ XXXX3273/ RRN:518460041339/ 3293029518622985746/ ICICI BANK LIMITED/ Rahul
</t>
    </r>
    <r>
      <rPr>
        <rFont val="Lucida Sans"/>
        <color theme="1"/>
        <sz val="7.0"/>
      </rPr>
      <t>Pandurang Kumbhar/ MOBTXN</t>
    </r>
  </si>
  <si>
    <t>TM external</t>
  </si>
  <si>
    <r>
      <rPr>
        <rFont val="Lucida Sans"/>
        <color theme="1"/>
        <sz val="7.0"/>
      </rPr>
      <t xml:space="preserve">IMPS/ NA/ XXXX1123/ RRN:518660657697/
</t>
    </r>
    <r>
      <rPr>
        <rFont val="Lucida Sans"/>
        <color theme="1"/>
        <sz val="7.0"/>
      </rPr>
      <t>49307214790532173/ HDFC BANK/ Jaideo Prasad Tanti/ cab</t>
    </r>
  </si>
  <si>
    <r>
      <rPr>
        <rFont val="Lucida Sans"/>
        <color theme="1"/>
        <sz val="7.0"/>
      </rPr>
      <t xml:space="preserve">IMPS/ NA/ XXXX6210/ RRN:518660658571/ 18778244798685504/ AXIS BANK/ MANDA TUKARAM
</t>
    </r>
    <r>
      <rPr>
        <rFont val="Lucida Sans"/>
        <color theme="1"/>
        <sz val="7.0"/>
      </rPr>
      <t>PADVAL/ googleworkspace</t>
    </r>
  </si>
  <si>
    <t>Google workspace</t>
  </si>
  <si>
    <r>
      <rPr>
        <rFont val="Lucida Sans"/>
        <color theme="1"/>
        <sz val="7.0"/>
      </rPr>
      <t xml:space="preserve">IMPS/ NA/ XXXX1123/ RRN:518761361171/ 1631825123109935179/ HDFC BANK/ Jaideo Prasad
</t>
    </r>
    <r>
      <rPr>
        <rFont val="Lucida Sans"/>
        <color theme="1"/>
        <sz val="7.0"/>
      </rPr>
      <t>Tanti/ meal</t>
    </r>
  </si>
  <si>
    <r>
      <rPr>
        <rFont val="Lucida Sans"/>
        <color theme="1"/>
        <sz val="7.0"/>
      </rPr>
      <t xml:space="preserve">IMPS/ NA/ XXXX2379/ RRN:518861638370/ 2786782178057432083/ AXIS BANK/ Rajendra
</t>
    </r>
    <r>
      <rPr>
        <rFont val="Lucida Sans"/>
        <color theme="1"/>
        <sz val="7.0"/>
      </rPr>
      <t>Balbhim Suryawanshi/ Prayagdham</t>
    </r>
  </si>
  <si>
    <t>Prayagdham electrical</t>
  </si>
  <si>
    <r>
      <rPr>
        <rFont val="Lucida Sans"/>
        <color theme="1"/>
        <sz val="7.0"/>
      </rPr>
      <t xml:space="preserve">IMPS/ NA/ XXXX1343/ RRN:518962093046/ 320558790812010244/ KOTAK MAHINDRA BANK
</t>
    </r>
    <r>
      <rPr>
        <rFont val="Lucida Sans"/>
        <color theme="1"/>
        <sz val="7.0"/>
      </rPr>
      <t>LIMITED/ Tushar Mane/ Ekdant</t>
    </r>
  </si>
  <si>
    <t>Ekdant electrical</t>
  </si>
  <si>
    <r>
      <rPr>
        <rFont val="Lucida Sans"/>
        <color theme="1"/>
        <sz val="7.0"/>
      </rPr>
      <t xml:space="preserve">IMPS/ NA/ XXXX3440/ RRN:519363816286/ 7062240206111121302/ STATE BANK OF INDIA/
</t>
    </r>
    <r>
      <rPr>
        <rFont val="Lucida Sans"/>
        <color theme="1"/>
        <sz val="7.0"/>
      </rPr>
      <t>Keshav M Khopade/ Park 59 Fabrication</t>
    </r>
  </si>
  <si>
    <t>Park 59 Fabrication</t>
  </si>
  <si>
    <r>
      <rPr>
        <rFont val="Lucida Sans"/>
        <color theme="1"/>
        <sz val="7.0"/>
      </rPr>
      <t xml:space="preserve">IMPS/ NA/ XXXX7233/ RRN:519464134200/ 11651448420201769655/ AXIS BANK/ Sova Solar
</t>
    </r>
    <r>
      <rPr>
        <rFont val="Lucida Sans"/>
        <color theme="1"/>
        <sz val="7.0"/>
      </rPr>
      <t>Limited/ Park 59 panels</t>
    </r>
  </si>
  <si>
    <t>Park 59 spv</t>
  </si>
  <si>
    <r>
      <rPr>
        <rFont val="Lucida Sans"/>
        <color theme="1"/>
        <sz val="7.0"/>
      </rPr>
      <t xml:space="preserve">IMPS/ NA/ XXXX8029/ RRN:519564579364/ 12638652672914451196/ AU SMALL FINANCE BANK
</t>
    </r>
    <r>
      <rPr>
        <rFont val="Lucida Sans"/>
        <color theme="1"/>
        <sz val="7.0"/>
      </rPr>
      <t>LIMITED/ Ojas Phalke/ Transportation</t>
    </r>
  </si>
  <si>
    <t>Transportation</t>
  </si>
  <si>
    <r>
      <rPr>
        <rFont val="Lucida Sans"/>
        <color theme="1"/>
        <sz val="7.0"/>
      </rPr>
      <t>PTMA34043C561C540A094E5511AA4B9A497INW</t>
    </r>
  </si>
  <si>
    <r>
      <rPr>
        <rFont val="Lucida Sans"/>
        <color theme="1"/>
        <sz val="7.0"/>
      </rPr>
      <t>UPI/ 687771088233/ From:9890711710@ptyes/ To:9823980211@yes/ Sent using Paytm UPI</t>
    </r>
  </si>
  <si>
    <t>Ashish Gupta advance</t>
  </si>
  <si>
    <r>
      <rPr>
        <rFont val="Lucida Sans"/>
        <color theme="1"/>
        <sz val="7.0"/>
      </rPr>
      <t xml:space="preserve">IMPS/ NA/ XXXX2996/ RRN:519664957769/ 962920371295817247/ IDFC FIRST BANK LTD/ Three
</t>
    </r>
    <r>
      <rPr>
        <rFont val="Lucida Sans"/>
        <color theme="1"/>
        <sz val="7.0"/>
      </rPr>
      <t>S Solutions/ Park 59 inverters</t>
    </r>
  </si>
  <si>
    <t>fail</t>
  </si>
  <si>
    <r>
      <rPr>
        <rFont val="Lucida Sans"/>
        <color theme="1"/>
        <sz val="7.0"/>
      </rPr>
      <t xml:space="preserve">IMPS/ NA/ XXXX1376/ RRN:519765273680/ 14162552598514124170/ CANARA BANK/ Dhooli
</t>
    </r>
    <r>
      <rPr>
        <rFont val="Lucida Sans"/>
        <color theme="1"/>
        <sz val="7.0"/>
      </rPr>
      <t>Controls/ Park 59 inverters advance</t>
    </r>
  </si>
  <si>
    <t>Inverters Advance Park 59</t>
  </si>
  <si>
    <r>
      <rPr>
        <rFont val="Lucida Sans"/>
        <color theme="1"/>
        <sz val="7.0"/>
      </rPr>
      <t>IDFBH25197088363</t>
    </r>
  </si>
  <si>
    <r>
      <rPr>
        <rFont val="Lucida Sans"/>
        <color theme="1"/>
        <sz val="7.0"/>
      </rPr>
      <t>NEFT Cr-IDFB0010204-3S SOLUTIONS-ROLLING ENER-IDFBH25197088363</t>
    </r>
  </si>
  <si>
    <r>
      <rPr>
        <rFont val="Lucida Sans"/>
        <color theme="1"/>
        <sz val="7.0"/>
      </rPr>
      <t xml:space="preserve">IMPS/ NA/ XXXX1376/ RRN:519865972312/ 1132702977288602642/ CANARA BANK/ Dhooli
</t>
    </r>
    <r>
      <rPr>
        <rFont val="Lucida Sans"/>
        <color theme="1"/>
        <sz val="7.0"/>
      </rPr>
      <t>Controls/ Park 59 inverters full payment</t>
    </r>
  </si>
  <si>
    <t>Inverters full payment park 59</t>
  </si>
  <si>
    <r>
      <rPr>
        <rFont val="Lucida Sans"/>
        <color theme="1"/>
        <sz val="7.0"/>
      </rPr>
      <t xml:space="preserve">IMPS/ NA/ XXXX8029/ RRN:520066653986/ PC144353877368139/ AU SMALL FINANCE BANK
</t>
    </r>
    <r>
      <rPr>
        <rFont val="Lucida Sans"/>
        <color theme="1"/>
        <sz val="7.0"/>
      </rPr>
      <t>LIMITED/ Ojas Jaynath Phalke/ Kumar Clamps Cash</t>
    </r>
  </si>
  <si>
    <t>Fab extra material park 59</t>
  </si>
  <si>
    <r>
      <rPr>
        <rFont val="Lucida Sans"/>
        <color theme="1"/>
        <sz val="7.0"/>
      </rPr>
      <t xml:space="preserve">IMPS/ NA/ XXXX1343/ RRN:520267650069/ PC1455100183426577/ KOTAK MAHINDRA BANK
</t>
    </r>
    <r>
      <rPr>
        <rFont val="Lucida Sans"/>
        <color theme="1"/>
        <sz val="7.0"/>
      </rPr>
      <t>LIMITED/ Tushar Popatrao Mane/ Anil Ekdant Last P</t>
    </r>
  </si>
  <si>
    <t>Ekdant final electrical pay</t>
  </si>
  <si>
    <r>
      <rPr>
        <rFont val="Lucida Sans"/>
        <color theme="1"/>
        <sz val="7.0"/>
      </rPr>
      <t xml:space="preserve">IMPS/ NA/ XXXX7165/ RRN:520468097902/ PC146066643692732/ UNION BANK OF INDIA/
</t>
    </r>
    <r>
      <rPr>
        <rFont val="Lucida Sans"/>
        <color theme="1"/>
        <sz val="7.0"/>
      </rPr>
      <t>Kraman Earthing Solutions/ Park 59 earthing mater</t>
    </r>
  </si>
  <si>
    <t>Park 59 earthing</t>
  </si>
  <si>
    <r>
      <rPr>
        <rFont val="Lucida Sans"/>
        <color theme="1"/>
        <sz val="7.0"/>
      </rPr>
      <t xml:space="preserve">IMPS/ NA/ XXXX5494/ RRN:520468100168/ PC1460671215318754/ HDFC BANK/ Sanskruti
</t>
    </r>
    <r>
      <rPr>
        <rFont val="Lucida Sans"/>
        <color theme="1"/>
        <sz val="7.0"/>
      </rPr>
      <t>Electric Com/ Park 59 electricals payment</t>
    </r>
  </si>
  <si>
    <t>park 59 electrical</t>
  </si>
  <si>
    <r>
      <rPr>
        <rFont val="Lucida Sans"/>
        <color theme="1"/>
        <sz val="7.0"/>
      </rPr>
      <t>IMPS/ NA/ XXXX8029/ RRN:521273621684/ 996067618302977989/ AU SMALL FINANCE BANK</t>
    </r>
  </si>
  <si>
    <t>park 59 Hardware</t>
  </si>
  <si>
    <r>
      <rPr>
        <rFont val="Lucida Sans"/>
        <color theme="1"/>
        <sz val="7.0"/>
      </rPr>
      <t>LIMITED/ Ojas Phalke/ Hardware park 59</t>
    </r>
  </si>
  <si>
    <r>
      <rPr>
        <rFont val="Lucida Sans"/>
        <color theme="1"/>
        <sz val="7.0"/>
      </rPr>
      <t>YBL3b033676c78a41b2b80d5e66226e813dINW</t>
    </r>
  </si>
  <si>
    <r>
      <rPr>
        <rFont val="Lucida Sans"/>
        <color theme="1"/>
        <sz val="7.0"/>
      </rPr>
      <t xml:space="preserve">UPI/ 016567866381/ From:7066502121@ybl/
</t>
    </r>
    <r>
      <rPr>
        <rFont val="Lucida Sans"/>
        <color theme="1"/>
        <sz val="7.0"/>
      </rPr>
      <t>To:9823980211@yes/ Payment from PhonePe</t>
    </r>
  </si>
  <si>
    <t>excess of hardware park 59</t>
  </si>
  <si>
    <r>
      <rPr>
        <rFont val="Lucida Sans"/>
        <color theme="1"/>
        <sz val="7.0"/>
      </rPr>
      <t xml:space="preserve">IMPS/ NA/ XXXX1123/ RRN:521273835561/ 10217356514723692126/ HDFC BANK/ Jaideo Prasad
</t>
    </r>
    <r>
      <rPr>
        <rFont val="Lucida Sans"/>
        <color theme="1"/>
        <sz val="7.0"/>
      </rPr>
      <t>Tanti/ Cab</t>
    </r>
  </si>
  <si>
    <t>JPT Cab</t>
  </si>
  <si>
    <r>
      <rPr>
        <rFont val="Lucida Sans"/>
        <color theme="1"/>
        <sz val="7.0"/>
      </rPr>
      <t>HSBCN21464258691</t>
    </r>
  </si>
  <si>
    <r>
      <rPr>
        <rFont val="Lucida Sans"/>
        <color theme="1"/>
        <sz val="7.0"/>
      </rPr>
      <t>NEFT Cr-HSBC0400007-SEALANT AND GASKET (INDIA-ROLLING ENERGY (OPC)PVT L- HSBCN21464258691</t>
    </r>
  </si>
  <si>
    <t>Sealant and Gasket Advance</t>
  </si>
  <si>
    <r>
      <rPr>
        <rFont val="Lucida Sans"/>
        <color rgb="FF000000"/>
        <sz val="7.0"/>
      </rPr>
      <t xml:space="preserve">IMPS/ NA/ XXXX1376/ RRN:521675688567/ 1342408629591900753/ CANARA BANK/ Dhooli
</t>
    </r>
    <r>
      <rPr>
        <rFont val="Lucida Sans"/>
        <color rgb="FF000000"/>
        <sz val="7.0"/>
      </rPr>
      <t>Controls/ Tushar Mane 10KW Inv ext</t>
    </r>
  </si>
  <si>
    <t>TM site inverter external</t>
  </si>
  <si>
    <r>
      <rPr>
        <rFont val="Lucida Sans"/>
        <color rgb="FF000000"/>
        <sz val="7.0"/>
      </rPr>
      <t xml:space="preserve">IMPS/ NA/ XXXX1031/ RRN:521675762650/ 3138396646872354156/ KOTAK MAHINDRA BANK
</t>
    </r>
    <r>
      <rPr>
        <rFont val="Lucida Sans"/>
        <color rgb="FF000000"/>
        <sz val="7.0"/>
      </rPr>
      <t>LIMITED/ Yogesh Vasant Sathe/ Extra material par</t>
    </r>
  </si>
  <si>
    <t>Park 59 extra material</t>
  </si>
  <si>
    <r>
      <rPr>
        <rFont val="Lucida Sans"/>
        <color theme="1"/>
        <sz val="7.0"/>
      </rPr>
      <t>AXI7c6fe003ff7d47adae17d9f18aba97e0INW</t>
    </r>
  </si>
  <si>
    <r>
      <rPr>
        <rFont val="Lucida Sans"/>
        <sz val="7.0"/>
      </rPr>
      <t>UPI/ 521711955941/ From:sonaldesh@okaxis/ To:041263400006460@yesb0000412.ifsc.npci/ UPI</t>
    </r>
  </si>
  <si>
    <t>Loan</t>
  </si>
  <si>
    <r>
      <rPr>
        <rFont val="Lucida Sans"/>
        <color theme="1"/>
        <sz val="7.0"/>
      </rPr>
      <t>AXIb73c4423024b4085875c8d117212273cINW</t>
    </r>
  </si>
  <si>
    <r>
      <rPr>
        <rFont val="Lucida Sans"/>
        <sz val="7.0"/>
      </rPr>
      <t>UPI/ 521792845376/ From:sonaldesh@okaxis/ To:041263400006460@yesb0000412.ifsc.npci/ UPI</t>
    </r>
  </si>
  <si>
    <r>
      <rPr>
        <rFont val="Lucida Sans"/>
        <color rgb="FF000000"/>
        <sz val="7.0"/>
      </rPr>
      <t xml:space="preserve">IMPS/ NA/ XXXX0008/ RRN:521776030514/ 14027286943182528057/ ICICI BANK LIMITED/
</t>
    </r>
    <r>
      <rPr>
        <rFont val="Lucida Sans"/>
        <color rgb="FF000000"/>
        <sz val="7.0"/>
      </rPr>
      <t>ORIAN SOLAR SYSTEMS LLP/ Solar panels advance T</t>
    </r>
  </si>
  <si>
    <t>TM site SPV advance external</t>
  </si>
  <si>
    <r>
      <rPr>
        <rFont val="Lucida Sans"/>
        <color theme="1"/>
        <sz val="7.0"/>
      </rPr>
      <t>SBI5ffc144cf0af4cf7b5d3c8036319789cINW</t>
    </r>
  </si>
  <si>
    <r>
      <rPr>
        <rFont val="Lucida Sans"/>
        <sz val="7.0"/>
      </rPr>
      <t>UPI/ 521897584445/ From:sonaldesh@oksbi/ To:041263400006460@yesb0000412.ifsc.npci/ UPI</t>
    </r>
  </si>
  <si>
    <r>
      <rPr>
        <rFont val="Lucida Sans"/>
        <color theme="1"/>
        <sz val="7.0"/>
      </rPr>
      <t>SBI6d7effb01c7f48a7886e6cea5a1988b9INW</t>
    </r>
  </si>
  <si>
    <r>
      <rPr>
        <rFont val="Lucida Sans"/>
        <sz val="7.0"/>
      </rPr>
      <t>UPI/ 521897631644/ From:sonaldesh@oksbi/ To:041263400006460@yesb0000412.ifsc.npci/ UPI</t>
    </r>
  </si>
  <si>
    <r>
      <rPr>
        <rFont val="Lucida Sans"/>
        <color rgb="FF000000"/>
        <sz val="7.0"/>
      </rPr>
      <t xml:space="preserve">IMPS/ NA/ XXXX2379/ RRN:521876840595/ 556011093915604666/ AXIS BANK/ Rajendra
</t>
    </r>
    <r>
      <rPr>
        <rFont val="Lucida Sans"/>
        <color rgb="FF000000"/>
        <sz val="7.0"/>
      </rPr>
      <t>Balbhim Suryawanshi/ Prayagdham electrical</t>
    </r>
  </si>
  <si>
    <t>Prayadham electrical RS</t>
  </si>
  <si>
    <r>
      <rPr>
        <rFont val="Lucida Sans"/>
        <color rgb="FF000000"/>
        <sz val="7.0"/>
      </rPr>
      <t xml:space="preserve">IMPS/ NA/ XXXX0008/ RRN:521876842564/ 5691061838942568426/ ICICI BANK LIMITED/ ORIAN
</t>
    </r>
    <r>
      <rPr>
        <rFont val="Lucida Sans"/>
        <color rgb="FF000000"/>
        <sz val="7.0"/>
      </rPr>
      <t>SOLAR SYSTEMS LLP/ panels complete payment</t>
    </r>
  </si>
  <si>
    <t>TM site SPV complete external</t>
  </si>
  <si>
    <r>
      <rPr>
        <rFont val="Lucida Sans"/>
        <color rgb="FF000000"/>
        <sz val="7.0"/>
      </rPr>
      <t xml:space="preserve">IMPS/ NA/ XXXX1031/ RRN:521876843243/ 15175303608007318563/ KOTAK MAHINDRA BANK
</t>
    </r>
    <r>
      <rPr>
        <rFont val="Lucida Sans"/>
        <color rgb="FF000000"/>
        <sz val="7.0"/>
      </rPr>
      <t>LIMITED/ Yogesh Vasant Sathe/ Partial payment p</t>
    </r>
  </si>
  <si>
    <t>Park 59 Electrical</t>
  </si>
  <si>
    <r>
      <rPr>
        <rFont val="Lucida Sans"/>
        <color theme="1"/>
        <sz val="7.0"/>
      </rPr>
      <t>SBIc4c1c838ccd74c959f52ffb1056e12b2INW</t>
    </r>
  </si>
  <si>
    <r>
      <rPr>
        <rFont val="Lucida Sans"/>
        <sz val="7.0"/>
      </rPr>
      <t>UPI/ 521940656031/ From:sonaldesh@oksbi/ To:041263400006460@yesb0000412.ifsc.npci/ UPI</t>
    </r>
  </si>
  <si>
    <r>
      <rPr>
        <rFont val="Lucida Sans"/>
        <color theme="1"/>
        <sz val="7.0"/>
      </rPr>
      <t>SBId196351ca9694518b1f831ab8e1741d0INW</t>
    </r>
  </si>
  <si>
    <r>
      <rPr>
        <rFont val="Lucida Sans"/>
        <sz val="7.0"/>
      </rPr>
      <t>UPI/ 521940701523/ From:sonaldesh@oksbi/ To:041263400006460@yesb0000412.ifsc.npci/ UPI</t>
    </r>
  </si>
  <si>
    <r>
      <rPr>
        <rFont val="Lucida Sans"/>
        <color rgb="FF000000"/>
        <sz val="7.0"/>
      </rPr>
      <t xml:space="preserve">IMPS/ NA/ XXXX2096/ RRN:521977246330/ 6405925242621574848/ AXIS BANK/
</t>
    </r>
    <r>
      <rPr>
        <rFont val="Lucida Sans"/>
        <color rgb="FF000000"/>
        <sz val="7.0"/>
      </rPr>
      <t xml:space="preserve">ImperialDinamico Innovations/ Panel partial
</t>
    </r>
    <r>
      <rPr>
        <rFont val="Lucida Sans"/>
        <color rgb="FF000000"/>
        <sz val="7.0"/>
      </rPr>
      <t>payment seala</t>
    </r>
  </si>
  <si>
    <t>Failed</t>
  </si>
  <si>
    <r>
      <rPr>
        <rFont val="Lucida Sans"/>
        <color theme="1"/>
        <sz val="7.0"/>
      </rPr>
      <t>IMPSO521977246330</t>
    </r>
  </si>
  <si>
    <r>
      <rPr>
        <rFont val="Lucida Sans"/>
        <color rgb="FF000000"/>
        <sz val="7.0"/>
      </rPr>
      <t xml:space="preserve">IMPS/ NA/ XXX2096/ REV/ RRN:521977246330/ 6405925242621574848/ AXIS BANK/
</t>
    </r>
    <r>
      <rPr>
        <rFont val="Lucida Sans"/>
        <color rgb="FF000000"/>
        <sz val="7.0"/>
      </rPr>
      <t xml:space="preserve">ImperialDinamico Innovations/ Panel partial
</t>
    </r>
    <r>
      <rPr>
        <rFont val="Lucida Sans"/>
        <color rgb="FF000000"/>
        <sz val="7.0"/>
      </rPr>
      <t>payment se</t>
    </r>
  </si>
  <si>
    <r>
      <rPr>
        <rFont val="Lucida Sans"/>
        <color theme="1"/>
        <sz val="7.0"/>
      </rPr>
      <t>SBI507ce58e83d94160bc1e4a9010d1e8f6INW</t>
    </r>
  </si>
  <si>
    <r>
      <rPr>
        <rFont val="Lucida Sans"/>
        <sz val="7.0"/>
      </rPr>
      <t>UPI/ 522078650300/ From:sonaldesh@oksbi/ To:041263400006460@yesb0000412.ifsc.npci/ UPI</t>
    </r>
  </si>
  <si>
    <r>
      <rPr>
        <rFont val="Lucida Sans"/>
        <color theme="1"/>
        <sz val="7.0"/>
      </rPr>
      <t>SBI232386899eb145e9b9210ac944c2688aINW</t>
    </r>
  </si>
  <si>
    <r>
      <rPr>
        <rFont val="Lucida Sans"/>
        <sz val="7.0"/>
      </rPr>
      <t>UPI/ 522078644588/ From:sonaldesh@oksbi/ To:041263400006460@yesb0000412.ifsc.npci/ UPI</t>
    </r>
  </si>
  <si>
    <r>
      <rPr>
        <rFont val="Lucida Sans"/>
        <color rgb="FF000000"/>
        <sz val="7.0"/>
      </rPr>
      <t xml:space="preserve">IMPS/ NA/ XXXX1959/ RRN:522078049986/ 7349395053784788901/ KOTAK MAHINDRA BANK
</t>
    </r>
    <r>
      <rPr>
        <rFont val="Lucida Sans"/>
        <color rgb="FF000000"/>
        <sz val="7.0"/>
      </rPr>
      <t>LIMITED/ ImperialDinamico Innovations/ Kanhe 5kw</t>
    </r>
  </si>
  <si>
    <t>Sealant and Gasket SPV</t>
  </si>
  <si>
    <t>IMPS/ NA/ XXXX3440/ RRN:522078187397/ 7446865831504941684/ STATE BANK OF INDIA/
Keshav M Khopade/ Park 59 final fabrication</t>
  </si>
  <si>
    <t>Park 59 final fabrication</t>
  </si>
  <si>
    <r>
      <rPr>
        <rFont val="Lucida Sans"/>
        <color theme="1"/>
        <sz val="7.0"/>
      </rPr>
      <t>SBI61c584d765f744949098e8583fa90f1cINW</t>
    </r>
  </si>
  <si>
    <r>
      <rPr>
        <rFont val="Lucida Sans"/>
        <sz val="7.0"/>
      </rPr>
      <t>UPI/ 522130023902/ From:sonaldesh@oksbi/ To:041263400006460@yesb0000412.ifsc.npci/ UPI</t>
    </r>
  </si>
  <si>
    <r>
      <rPr>
        <rFont val="Lucida Sans"/>
        <color theme="1"/>
        <sz val="7.0"/>
      </rPr>
      <t>SBI6bef9c51315e4904b0eb6bb4d8cabed7INW</t>
    </r>
  </si>
  <si>
    <r>
      <rPr>
        <rFont val="Lucida Sans"/>
        <sz val="7.0"/>
      </rPr>
      <t>UPI/ 522130026162/ From:sonaldesh@oksbi/ To:041263400006460@yesb0000412.ifsc.npci/ UPI</t>
    </r>
  </si>
  <si>
    <r>
      <rPr>
        <rFont val="Lucida Sans"/>
        <color theme="1"/>
        <sz val="7.0"/>
      </rPr>
      <t>IMPSI522312473121</t>
    </r>
  </si>
  <si>
    <r>
      <rPr>
        <rFont val="Lucida Sans"/>
        <color theme="1"/>
        <sz val="7.0"/>
      </rPr>
      <t>IMPS/ POREFURNITUREWORKS/ XXX0094/ RRN:522312473121/ BANK OF BARODA</t>
    </r>
  </si>
  <si>
    <t xml:space="preserve">Smart Light TM </t>
  </si>
  <si>
    <r>
      <rPr>
        <rFont val="Lucida Sans"/>
        <color rgb="FF000000"/>
        <sz val="7.0"/>
      </rPr>
      <t xml:space="preserve">IMPS/ NA/ XXXX7165/ RRN:522480122127/ PA98206923463989328/ UNION BANK OF INDIA/
</t>
    </r>
    <r>
      <rPr>
        <rFont val="Lucida Sans"/>
        <color rgb="FF000000"/>
        <sz val="7.0"/>
      </rPr>
      <t>Karman Earthing Solutions/ Kanhe Phata Earthing</t>
    </r>
  </si>
  <si>
    <t>Sealant and gasket earthing</t>
  </si>
  <si>
    <r>
      <rPr>
        <rFont val="Lucida Sans"/>
        <color rgb="FF000000"/>
        <sz val="7.0"/>
      </rPr>
      <t xml:space="preserve">IMPS/ NA/ XXXX6547/ RRN:522480133383/ PA38625798089051190/ HDFC BANK/ StarrBot
</t>
    </r>
    <r>
      <rPr>
        <rFont val="Lucida Sans"/>
        <color rgb="FF000000"/>
        <sz val="7.0"/>
      </rPr>
      <t>Automations Pvt Ltd/ Automation lights Tushar</t>
    </r>
  </si>
  <si>
    <r>
      <rPr>
        <rFont val="Lucida Sans"/>
        <color rgb="FF000000"/>
        <sz val="7.0"/>
      </rPr>
      <t xml:space="preserve">IMPS/ NA/ XXXX1343/ RRN:522480213755/ 3940537819648958273/ KOTAK MAHINDRA BANK
</t>
    </r>
    <r>
      <rPr>
        <rFont val="Lucida Sans"/>
        <color rgb="FF000000"/>
        <sz val="7.0"/>
      </rPr>
      <t>LIMITED/ Tushar Mane/ Smart light</t>
    </r>
  </si>
  <si>
    <r>
      <rPr>
        <rFont val="Lucida Sans"/>
        <color theme="1"/>
        <sz val="7.0"/>
      </rPr>
      <t>PCA:0145545301:470000087025329:IND*LinkedIn MUMBAI IND12-AUG-25 18:49:23</t>
    </r>
  </si>
  <si>
    <t>Linkedin</t>
  </si>
  <si>
    <r>
      <rPr>
        <rFont val="Lucida Sans"/>
        <color theme="1"/>
        <sz val="7.0"/>
      </rPr>
      <t>REFUND:250813:IND*LINKEDIN\E 510 CRYSTAL</t>
    </r>
  </si>
  <si>
    <r>
      <rPr>
        <rFont val="Lucida Sans"/>
        <color theme="1"/>
        <sz val="7.0"/>
      </rPr>
      <t>PCA:0145545301:470000087032192:IND*VistaPrint MUMBAI IND20-AUG-25 17:49:44</t>
    </r>
  </si>
  <si>
    <t>Vista Print Cards</t>
  </si>
  <si>
    <r>
      <rPr>
        <rFont val="Lucida Sans"/>
        <color theme="1"/>
        <sz val="7.0"/>
      </rPr>
      <t>PCA:0145545301:470000087032192:IND*VistaPrint MUMBAI IND20-AUG-25 17:54:51</t>
    </r>
  </si>
  <si>
    <t>Vista Print Tshirt</t>
  </si>
  <si>
    <r>
      <rPr>
        <rFont val="Lucida Sans"/>
        <color theme="1"/>
        <sz val="7.0"/>
      </rPr>
      <t>SBIN425238860776</t>
    </r>
  </si>
  <si>
    <r>
      <rPr>
        <rFont val="Lucida Sans"/>
        <color theme="1"/>
        <sz val="7.0"/>
      </rPr>
      <t>NEFT Cr-SBIN0004108-SHIV DEVELOPERS-Rolling Energy-SBIN425238860776</t>
    </r>
  </si>
  <si>
    <t>Park 59 Second Payment</t>
  </si>
  <si>
    <r>
      <rPr>
        <rFont val="Lucida Sans"/>
        <color theme="1"/>
        <sz val="7.0"/>
      </rPr>
      <t>HSBCN24171227883</t>
    </r>
  </si>
  <si>
    <r>
      <rPr>
        <rFont val="Lucida Sans"/>
        <color theme="1"/>
        <sz val="7.0"/>
      </rPr>
      <t>NEFT Cr-HSBC0400007-SEALANT AND GASKET (INDIA-ROLLING ENERGY (OPC)PVT L- HSBCN24171227883</t>
    </r>
  </si>
  <si>
    <t>Sealant and gasket final payment</t>
  </si>
  <si>
    <r>
      <rPr>
        <rFont val="Lucida Sans"/>
        <color theme="1"/>
        <sz val="7.0"/>
      </rPr>
      <t>PCA:5301:470000087032192:IND*VistaPrint MUMBAI IND03-SEP-25 16:53:38</t>
    </r>
  </si>
  <si>
    <t xml:space="preserve">Vista Print </t>
  </si>
  <si>
    <r>
      <rPr>
        <rFont val="Lucida Sans"/>
        <color rgb="FF000000"/>
        <sz val="7.0"/>
      </rPr>
      <t xml:space="preserve">IMPS/ NA/ XXXX1947/ RRN:525698072982/ PA21258681662578452/ SARASWAT COOPERATIVE
</t>
    </r>
    <r>
      <rPr>
        <rFont val="Lucida Sans"/>
        <color rgb="FF000000"/>
        <sz val="7.0"/>
      </rPr>
      <t>BANK LIMITED/ VENUS TRADERS/ Office Equipment</t>
    </r>
  </si>
  <si>
    <t>White Board</t>
  </si>
  <si>
    <r>
      <rPr>
        <rFont val="Lucida Sans"/>
        <color rgb="FF000000"/>
        <sz val="7.0"/>
      </rPr>
      <t xml:space="preserve">IMPS/ NA/ XXXX8029/ RRN:525698272622/ 21452168075802245930/ AU SMALL FINANCE BANK
</t>
    </r>
    <r>
      <rPr>
        <rFont val="Lucida Sans"/>
        <color rgb="FF000000"/>
        <sz val="7.0"/>
      </rPr>
      <t>LIMITED/ Ojas Phalke/ MOBTXN</t>
    </r>
  </si>
  <si>
    <r>
      <rPr>
        <rFont val="Lucida Sans"/>
        <color theme="1"/>
        <sz val="7.0"/>
      </rPr>
      <t>PCA:5301:470000087013369:IND*LinkedIn (PGSI) MUMBAI IND14-SEP-25 18:54:30</t>
    </r>
  </si>
  <si>
    <r>
      <rPr>
        <rFont val="Lucida Sans"/>
        <color theme="1"/>
        <sz val="7.0"/>
      </rPr>
      <t>PCA:5301:100000000000JqY:RAZ*Truegrit Technolog Bengaluru IND20-SEP-25 12:07:27</t>
    </r>
  </si>
  <si>
    <t>Superfone</t>
  </si>
  <si>
    <r>
      <rPr>
        <rFont val="Lucida Sans"/>
        <color theme="1"/>
        <sz val="7.0"/>
      </rPr>
      <t>PCA:5301:AIRTEL1114394:PAY*WWW AIRTEL IN GURGAON IND20-SEP-25 17:08:53</t>
    </r>
  </si>
  <si>
    <t xml:space="preserve">Airtel </t>
  </si>
  <si>
    <r>
      <rPr>
        <rFont val="Lucida Sans"/>
        <color rgb="FF000000"/>
        <sz val="7.0"/>
      </rPr>
      <t xml:space="preserve">IMPS/ NA/ XXXX1343/ RRN:526433353103/ 28166195580555526611/ KOTAK MAHINDRA BANK
</t>
    </r>
    <r>
      <rPr>
        <rFont val="Lucida Sans"/>
        <color rgb="FF000000"/>
        <sz val="7.0"/>
      </rPr>
      <t>LIMITED/ Tushar Mane/ Transport</t>
    </r>
  </si>
  <si>
    <t>TM transport</t>
  </si>
  <si>
    <r>
      <rPr>
        <rFont val="Lucida Sans"/>
        <color theme="1"/>
        <sz val="7.0"/>
      </rPr>
      <t>IMPS/ NA/ XXXX5396/ RRN:526433384771/ PA28208290582185357/ STATE BANK OF INDIA/ SAMBHAJI DILIPRAO CHAVHAN/ Transport</t>
    </r>
  </si>
  <si>
    <t>SC Transport</t>
  </si>
  <si>
    <r>
      <rPr>
        <rFont val="Lucida Sans"/>
        <color rgb="FF000000"/>
        <sz val="7.0"/>
      </rPr>
      <t xml:space="preserve">IMPS/ NA/ XXXX3389/ RRN:526534200750/ PA29188966179302053/ CANARA BANK/ SANSKRITIK
</t>
    </r>
    <r>
      <rPr>
        <rFont val="Lucida Sans"/>
        <color rgb="FF000000"/>
        <sz val="7.0"/>
      </rPr>
      <t>SANGH DHANORI/ Donation Durga</t>
    </r>
  </si>
  <si>
    <t>Navratri Donation Sanskritik Sangh</t>
  </si>
  <si>
    <r>
      <rPr>
        <rFont val="Lucida Sans"/>
        <color theme="1"/>
        <sz val="7.0"/>
      </rPr>
      <t>SBI0c84dc3ef2f540909187c1994e7312c8INW</t>
    </r>
  </si>
  <si>
    <r>
      <rPr>
        <rFont val="Lucida Sans"/>
        <sz val="7.0"/>
      </rPr>
      <t>UPI/ 526613088799/ From:sonaldesh@oksbi/ To:041263400006460@yesb0000412.ifsc.npci/ UPI</t>
    </r>
  </si>
  <si>
    <t>Smart Board SD</t>
  </si>
  <si>
    <r>
      <rPr>
        <rFont val="Lucida Sans"/>
        <color theme="1"/>
        <sz val="7.0"/>
      </rPr>
      <t>SBIN325266932137</t>
    </r>
  </si>
  <si>
    <r>
      <rPr>
        <rFont val="Lucida Sans"/>
        <color theme="1"/>
        <sz val="7.0"/>
      </rPr>
      <t>NEFT Cr-SBIN0004108-SHIV DEVELOPERS-Rolling Energy-SBIN325266932137</t>
    </r>
  </si>
  <si>
    <r>
      <rPr>
        <rFont val="Lucida Sans"/>
        <color theme="1"/>
        <sz val="7.0"/>
      </rPr>
      <t>PCA:5301:ZEPZEPT00377442:ZEPTO MARKETPLACE PRIV BENGALORE IND24-SEP-25 20:30:16</t>
    </r>
  </si>
  <si>
    <t>Zepto</t>
  </si>
  <si>
    <r>
      <rPr>
        <rFont val="Lucida Sans"/>
        <color theme="1"/>
        <sz val="7.0"/>
      </rPr>
      <t>AXI6cdbf3604494416fac3b92d59a2efc5dINW</t>
    </r>
  </si>
  <si>
    <r>
      <rPr>
        <rFont val="Lucida Sans"/>
        <sz val="7.0"/>
      </rPr>
      <t>UPI/ 563509921558/ From:sonaldesh@okaxis/ To:041263400006460@yesb0000412.ifsc.npci/ UPI</t>
    </r>
  </si>
  <si>
    <r>
      <rPr>
        <rFont val="Lucida Sans"/>
        <color theme="1"/>
        <sz val="7.0"/>
      </rPr>
      <t>REFUND:250925:PAY*WWW AIRTEL IN\9TH FLOO</t>
    </r>
  </si>
  <si>
    <t>Airtel</t>
  </si>
  <si>
    <r>
      <rPr>
        <rFont val="Lucida Sans"/>
        <color rgb="FF000000"/>
        <sz val="7.0"/>
      </rPr>
      <t xml:space="preserve">IMPS/ NA/ XXXX1135/ RRN:527037599121/ PA33360845420459418/ AXIS BANK/ Impression
</t>
    </r>
    <r>
      <rPr>
        <rFont val="Lucida Sans"/>
        <color rgb="FF000000"/>
        <sz val="7.0"/>
      </rPr>
      <t>Graphics/ Brochure 10k</t>
    </r>
  </si>
  <si>
    <r>
      <rPr>
        <rFont val="Lucida Sans"/>
        <color rgb="FF000000"/>
        <sz val="7.0"/>
      </rPr>
      <t xml:space="preserve">IMPS/ NA/ XXXX5370/ RRN:527137925789/ 33756793266055858655/ FEDERAL BANK/ Avtech
</t>
    </r>
    <r>
      <rPr>
        <rFont val="Lucida Sans"/>
        <color rgb="FF000000"/>
        <sz val="7.0"/>
      </rPr>
      <t>Solutions/ Smart board SD</t>
    </r>
  </si>
  <si>
    <r>
      <rPr>
        <rFont val="Lucida Sans"/>
        <color theme="1"/>
        <sz val="7.0"/>
      </rPr>
      <t>IMPS/ NA/ XXXX5396/ RRN:527340004392/ 36210213464921857580/ STATE BANK OF INDIA/ SAMBHAJI DILIPRAO CHAVHAN/ Salary</t>
    </r>
  </si>
  <si>
    <t>SC salary</t>
  </si>
  <si>
    <r>
      <rPr>
        <rFont val="Lucida Sans"/>
        <color theme="1"/>
        <sz val="7.0"/>
      </rPr>
      <t>IMPSI527562660729</t>
    </r>
  </si>
  <si>
    <r>
      <rPr>
        <rFont val="Lucida Sans"/>
        <color theme="1"/>
        <sz val="7.0"/>
      </rPr>
      <t>IMPS/ AMOLRAMESHPANDE/ XXX2707/ RRN:527562660729/ AXIS BANK</t>
    </r>
  </si>
  <si>
    <t>Amol Pande Advance</t>
  </si>
  <si>
    <r>
      <rPr>
        <rFont val="Lucida Sans"/>
        <color rgb="FF000000"/>
        <sz val="7.0"/>
      </rPr>
      <t xml:space="preserve">IMPS/ NA/ XXXX3440/ RRN:527541624428/ 37930819097604889346/ STATE BANK OF INDIA/
</t>
    </r>
    <r>
      <rPr>
        <rFont val="Lucida Sans"/>
        <color rgb="FF000000"/>
        <sz val="7.0"/>
      </rPr>
      <t>Keshav M Khopade/ Fabrication advance</t>
    </r>
  </si>
  <si>
    <t>Amol Pande Fabrication Advance</t>
  </si>
  <si>
    <r>
      <rPr>
        <rFont val="Lucida Sans"/>
        <color rgb="FF000000"/>
        <sz val="7.0"/>
      </rPr>
      <t xml:space="preserve">IMPS/ NA/ XXXX0054/ RRN:527641994100/ PA38495050104462004/ IDFC FIRST BANK LTD/ Mrs
</t>
    </r>
    <r>
      <rPr>
        <rFont val="Lucida Sans"/>
        <color rgb="FF000000"/>
        <sz val="7.0"/>
      </rPr>
      <t>Ankita Suresh Jadhav/ Salary</t>
    </r>
  </si>
  <si>
    <t>AJ Salary</t>
  </si>
  <si>
    <r>
      <rPr>
        <rFont val="Lucida Sans"/>
        <color theme="1"/>
        <sz val="7.0"/>
      </rPr>
      <t>IBKL251004779848</t>
    </r>
  </si>
  <si>
    <r>
      <rPr>
        <rFont val="Lucida Sans"/>
        <color rgb="FF000000"/>
        <sz val="7.0"/>
      </rPr>
      <t xml:space="preserve">NEFT Cr-IBKL0NEFT01-SARVESH INGENIEUR PVT LTD-
</t>
    </r>
    <r>
      <rPr>
        <rFont val="Lucida Sans"/>
        <color rgb="FF000000"/>
        <sz val="7.0"/>
      </rPr>
      <t>RollingEnergyOPC-IBKL251004779848</t>
    </r>
  </si>
  <si>
    <t>Sawant Final Payment</t>
  </si>
  <si>
    <r>
      <rPr>
        <rFont val="Lucida Sans"/>
        <color rgb="FF000000"/>
        <sz val="7.0"/>
      </rPr>
      <t xml:space="preserve">IMPS/ NA/ XXXX1343/ RRN:527944468452/ 41500332856822182514/ KOTAK MAHINDRA BANK
</t>
    </r>
    <r>
      <rPr>
        <rFont val="Lucida Sans"/>
        <color rgb="FF000000"/>
        <sz val="7.0"/>
      </rPr>
      <t>LIMITED/ Tushar Mane/ Advance</t>
    </r>
  </si>
  <si>
    <t xml:space="preserve">TM salary </t>
  </si>
  <si>
    <r>
      <rPr>
        <rFont val="Lucida Sans"/>
        <color theme="1"/>
        <sz val="7.0"/>
      </rPr>
      <t>YBL03b124325e4b4cdd8f78aad2fe85ddc2INW</t>
    </r>
  </si>
  <si>
    <r>
      <rPr>
        <rFont val="Lucida Sans"/>
        <color rgb="FF000000"/>
        <sz val="7.0"/>
      </rPr>
      <t xml:space="preserve">UPI/ 557258572505/ From:deokateswapneel@ybl/ To:041263400006460@YESB0000412.ifsc.npci/
</t>
    </r>
    <r>
      <rPr>
        <rFont val="Lucida Sans"/>
        <color rgb="FF000000"/>
        <sz val="7.0"/>
      </rPr>
      <t>Payment from PhonePe</t>
    </r>
  </si>
  <si>
    <t>TM site Deokate</t>
  </si>
  <si>
    <r>
      <rPr>
        <rFont val="Lucida Sans"/>
        <color theme="1"/>
        <sz val="7.0"/>
      </rPr>
      <t>SBIN125281969566</t>
    </r>
  </si>
  <si>
    <r>
      <rPr>
        <rFont val="Lucida Sans"/>
        <color theme="1"/>
        <sz val="7.0"/>
      </rPr>
      <t>NEFT Cr-SBIN0014188-ARUNA RAJU DEOKATE-Tushar Mane-SBIN125281969566</t>
    </r>
  </si>
  <si>
    <r>
      <rPr>
        <rFont val="Lucida Sans"/>
        <color rgb="FF000000"/>
        <sz val="7.0"/>
      </rPr>
      <t xml:space="preserve">IMPS/ NA/ XXXX1343/ RRN:528145860162/ 43238638892635607160/ KOTAK MAHINDRA BANK
</t>
    </r>
    <r>
      <rPr>
        <rFont val="Lucida Sans"/>
        <color rgb="FF000000"/>
        <sz val="7.0"/>
      </rPr>
      <t>LIMITED/ Tushar Mane/ MSEB Liaison Wakad</t>
    </r>
  </si>
  <si>
    <t>MSEB liason Park 59 + Gupta</t>
  </si>
  <si>
    <r>
      <rPr>
        <rFont val="Lucida Sans"/>
        <color rgb="FF000000"/>
        <sz val="7.0"/>
      </rPr>
      <t xml:space="preserve">IMPS/ NA/ XXXX0002/ RRN:528347228791/ 44770956304438692417/ STATE BANK OF INDIA/
</t>
    </r>
    <r>
      <rPr>
        <rFont val="Lucida Sans"/>
        <color rgb="FF000000"/>
        <sz val="7.0"/>
      </rPr>
      <t>SWAPNEEL RAJU DEOKATE/ Reimbersment</t>
    </r>
  </si>
  <si>
    <t>TM site deokate Reimbursment</t>
  </si>
  <si>
    <r>
      <rPr>
        <rFont val="Lucida Sans"/>
        <color theme="1"/>
        <sz val="7.0"/>
      </rPr>
      <t>PCA:5301:470000087013369:IND*LinkedIn (PGSI) MUMBAI IND14-OCT-25 18:54:41</t>
    </r>
  </si>
  <si>
    <r>
      <rPr>
        <rFont val="Lucida Sans"/>
        <color theme="1"/>
        <sz val="7.0"/>
      </rPr>
      <t>PCA:5301:0519400A0075350:MAHARASHTRA ENERGY DEV PUNE IND16-OCT-25 17:49:28</t>
    </r>
  </si>
  <si>
    <t>Vendor Registeration</t>
  </si>
  <si>
    <t>**</t>
  </si>
  <si>
    <r>
      <rPr>
        <rFont val="Lucida Sans"/>
        <color rgb="FF000000"/>
        <sz val="7.0"/>
      </rPr>
      <t xml:space="preserve">IMPS/ NA/ XXXX1832/ RRN:528951644640/ PA50007815424158346/ HDFC BANK/ ARAVIND
</t>
    </r>
    <r>
      <rPr>
        <rFont val="Lucida Sans"/>
        <color rgb="FF000000"/>
        <sz val="7.0"/>
      </rPr>
      <t>KUMAR TANTI/ Consultancy Fees Kanhe Phata</t>
    </r>
  </si>
  <si>
    <t>T Sealant and Gasket consultation fees</t>
  </si>
  <si>
    <r>
      <rPr>
        <rFont val="Lucida Sans"/>
        <color rgb="FF000000"/>
        <sz val="7.0"/>
      </rPr>
      <t xml:space="preserve">IMPS/ NA/ XXXX8029/ RRN:529052137321/ 50659662455233194862/ AU SMALL FINANCE BANK
</t>
    </r>
    <r>
      <rPr>
        <rFont val="Lucida Sans"/>
        <color rgb="FF000000"/>
        <sz val="7.0"/>
      </rPr>
      <t>LIMITED/ Ojas Phalke/ MOBTXN</t>
    </r>
  </si>
  <si>
    <r>
      <rPr>
        <rFont val="Lucida Sans"/>
        <color rgb="FF000000"/>
        <sz val="7.0"/>
      </rPr>
      <t xml:space="preserve">IMPS/ NA/ XXXX8029/ RRN:529052189773/ 5070657242696527127/ AU SMALL FINANCE BANK
</t>
    </r>
    <r>
      <rPr>
        <rFont val="Lucida Sans"/>
        <color rgb="FF000000"/>
        <sz val="7.0"/>
      </rPr>
      <t>LIMITED/ Ojas Phalke/ MOBTXN</t>
    </r>
  </si>
  <si>
    <r>
      <rPr>
        <rFont val="Lucida Sans"/>
        <color rgb="FF000000"/>
        <sz val="7.0"/>
      </rPr>
      <t xml:space="preserve">IMPS/ NA/ XXXX8029/ RRN:529152642488/ 51431373706910922708/ AU SMALL FINANCE BANK
</t>
    </r>
    <r>
      <rPr>
        <rFont val="Lucida Sans"/>
        <color rgb="FF000000"/>
        <sz val="7.0"/>
      </rPr>
      <t>LIMITED/ Ojas Phalke/ MOBTXN</t>
    </r>
  </si>
  <si>
    <r>
      <rPr>
        <rFont val="Lucida Sans"/>
        <color theme="1"/>
        <sz val="7.0"/>
      </rPr>
      <t>MAHBH00828666067</t>
    </r>
  </si>
  <si>
    <r>
      <rPr>
        <rFont val="Lucida Sans"/>
        <color rgb="FF000000"/>
        <sz val="7.0"/>
      </rPr>
      <t xml:space="preserve">NEFT Cr-MAHB0000447-DATE ENGINEERING INDIA
</t>
    </r>
    <r>
      <rPr>
        <rFont val="Lucida Sans"/>
        <color rgb="FF000000"/>
        <sz val="7.0"/>
      </rPr>
      <t>PR-rolling energy Opc privat-MAHBH00828666067</t>
    </r>
  </si>
  <si>
    <t xml:space="preserve">Date engineering </t>
  </si>
  <si>
    <r>
      <rPr>
        <rFont val="Lucida Sans"/>
        <color rgb="FF000000"/>
        <sz val="7.0"/>
      </rPr>
      <t xml:space="preserve">IMPS/ NA/ XXXX1343/ RRN:529554948115/ 47301639599594726213/ KOTAK MAHINDRA BANK
</t>
    </r>
    <r>
      <rPr>
        <rFont val="Lucida Sans"/>
        <color rgb="FF000000"/>
        <sz val="7.0"/>
      </rPr>
      <t>LIMITED/ Tushar Mane/ MOBTXN</t>
    </r>
  </si>
  <si>
    <t>Transportation TM</t>
  </si>
  <si>
    <t>IMPS/NA/XXXX9542/RRN :530158087129/PA60183285974748303/KOTAK MAHINDRA BANK LIMITED/AVANISH DEVENDRA DESHMUKH SONAL DEV/Se</t>
  </si>
  <si>
    <r>
      <rPr>
        <rFont val="Arial"/>
        <color rgb="FF2D2D2D"/>
        <sz val="8.0"/>
      </rPr>
      <t>YESI3530100525</t>
    </r>
    <r>
      <rPr>
        <rFont val="Arial"/>
        <color theme="1"/>
        <sz val="8.0"/>
      </rPr>
      <t>5900</t>
    </r>
  </si>
  <si>
    <r>
      <rPr>
        <rFont val="Arial MT"/>
        <color rgb="FF2D2D2D"/>
        <sz val="8.0"/>
      </rPr>
      <t xml:space="preserve">IMPS/NA/XXXX9542/RRN
</t>
    </r>
    <r>
      <rPr>
        <rFont val="Arial MT"/>
        <color rgb="FF2D2D2D"/>
        <sz val="8.0"/>
      </rPr>
      <t xml:space="preserve">:530258656289/61032353 532949769668/KOTAK M AHINDRA BANK LIMITED
</t>
    </r>
    <r>
      <rPr>
        <rFont val="Arial MT"/>
        <color rgb="FF2D2D2D"/>
        <sz val="8.0"/>
      </rPr>
      <t>/AVANISH DEVENDRA D ESHMUKH SONAL DEV/M</t>
    </r>
  </si>
  <si>
    <r>
      <rPr>
        <rFont val="Arial MT"/>
        <color rgb="FF2D2D2D"/>
        <sz val="8.0"/>
      </rPr>
      <t>YESI3530200492 5600</t>
    </r>
  </si>
  <si>
    <r>
      <rPr>
        <rFont val="Arial MT"/>
        <color rgb="FF2D2D2D"/>
        <sz val="8.0"/>
      </rPr>
      <t xml:space="preserve">PCA:5301:1000000000
</t>
    </r>
    <r>
      <rPr>
        <rFont val="Arial MT"/>
        <color rgb="FF2D2D2D"/>
        <sz val="8.0"/>
      </rPr>
      <t>005oa:RAZ*Kisan Foru m Pvt Lt Pune          IN D31-OCT-25 17:08:53</t>
    </r>
  </si>
  <si>
    <r>
      <rPr>
        <rFont val="Arial MT"/>
        <color rgb="FF2D2D2D"/>
        <sz val="8.0"/>
      </rPr>
      <t xml:space="preserve">202510311708523
</t>
    </r>
    <r>
      <rPr>
        <rFont val="Arial MT"/>
        <color rgb="FF2D2D2D"/>
        <sz val="8.0"/>
      </rPr>
      <t>70069</t>
    </r>
  </si>
  <si>
    <t>Kisan participation</t>
  </si>
  <si>
    <r>
      <rPr>
        <rFont val="Arial MT"/>
        <color rgb="FF2D2D2D"/>
        <sz val="8.0"/>
      </rPr>
      <t>CHQ DEP IDB 31-OC T-25 KALYANINAGAR</t>
    </r>
  </si>
  <si>
    <t>Tingrenagar 5KW</t>
  </si>
  <si>
    <r>
      <rPr>
        <rFont val="Arial MT"/>
        <color rgb="FF2D2D2D"/>
        <sz val="8.0"/>
      </rPr>
      <t xml:space="preserve">IMPS/NA/XXXX5396/RRN: 530560293576/635021204
</t>
    </r>
    <r>
      <rPr>
        <rFont val="Arial MT"/>
        <color rgb="FF2D2D2D"/>
        <sz val="8.0"/>
      </rPr>
      <t>01467899326/STATE BAN K OF INDIA/SAMBHAJI DI LIPRAO CHAVHAN/Salary</t>
    </r>
  </si>
  <si>
    <r>
      <rPr>
        <rFont val="Arial MT"/>
        <color rgb="FF2D2D2D"/>
        <sz val="8.0"/>
      </rPr>
      <t>YESI3530500374 7300</t>
    </r>
  </si>
  <si>
    <t>SC Salary</t>
  </si>
  <si>
    <r>
      <rPr>
        <rFont val="Arial MT"/>
        <color rgb="FF2D2D2D"/>
        <sz val="8.0"/>
      </rPr>
      <t>YESI3530500375</t>
    </r>
  </si>
  <si>
    <r>
      <rPr>
        <rFont val="Arial MT"/>
        <color rgb="FF2D2D2D"/>
        <sz val="8.0"/>
      </rPr>
      <t>IMPS/NA/XXXX5396/RRN:</t>
    </r>
  </si>
  <si>
    <t>SC Transportation</t>
  </si>
  <si>
    <r>
      <rPr>
        <rFont val="Arial MT"/>
        <color rgb="FF2D2D2D"/>
        <sz val="8.0"/>
      </rPr>
      <t>530560294079/6348924836</t>
    </r>
  </si>
  <si>
    <r>
      <rPr>
        <rFont val="Arial MT"/>
        <color rgb="FF2D2D2D"/>
        <sz val="8.0"/>
      </rPr>
      <t>9406774399/STATE BANK</t>
    </r>
  </si>
  <si>
    <r>
      <rPr>
        <rFont val="Arial MT"/>
        <color rgb="FF2D2D2D"/>
        <sz val="8.0"/>
      </rPr>
      <t>OF INDIA/SAMBHAJI DILIP</t>
    </r>
  </si>
  <si>
    <r>
      <rPr>
        <rFont val="Arial MT"/>
        <color rgb="FF2D2D2D"/>
        <sz val="8.0"/>
      </rPr>
      <t>RAO CHAVHAN/Allowance</t>
    </r>
  </si>
  <si>
    <r>
      <rPr>
        <rFont val="Arial MT"/>
        <color rgb="FF2D2D2D"/>
        <sz val="8.0"/>
      </rPr>
      <t>YESI3530600508</t>
    </r>
  </si>
  <si>
    <r>
      <rPr>
        <rFont val="Arial MT"/>
        <color rgb="FF2D2D2D"/>
        <sz val="8.0"/>
      </rPr>
      <t>IMPS/NA/XXXX9542/RRN</t>
    </r>
  </si>
  <si>
    <r>
      <rPr>
        <rFont val="Arial MT"/>
        <color rgb="FF2D2D2D"/>
        <sz val="8.0"/>
      </rPr>
      <t>:530661028304/64567094</t>
    </r>
  </si>
  <si>
    <r>
      <rPr>
        <rFont val="Arial MT"/>
        <color rgb="FF2D2D2D"/>
        <sz val="8.0"/>
      </rPr>
      <t>782029079457/KOTAK M</t>
    </r>
  </si>
  <si>
    <r>
      <rPr>
        <rFont val="Arial MT"/>
        <color rgb="FF2D2D2D"/>
        <sz val="8.0"/>
      </rPr>
      <t>AHINDRA BANK LIMITED</t>
    </r>
  </si>
  <si>
    <r>
      <rPr>
        <rFont val="Arial MT"/>
        <color rgb="FF2D2D2D"/>
        <sz val="8.0"/>
      </rPr>
      <t>/AVANISH DEVENDRA D</t>
    </r>
  </si>
  <si>
    <r>
      <rPr>
        <rFont val="Arial MT"/>
        <color rgb="FF2D2D2D"/>
        <sz val="8.0"/>
      </rPr>
      <t>ESHMUKH SONAL DEV/M</t>
    </r>
  </si>
  <si>
    <r>
      <rPr>
        <rFont val="Arial MT"/>
        <color rgb="FF2D2D2D"/>
        <sz val="8.0"/>
      </rPr>
      <t>PCA:5301:6H7N6hlc00</t>
    </r>
  </si>
  <si>
    <r>
      <rPr>
        <rFont val="Arial MT"/>
        <color rgb="FF2D2D2D"/>
        <sz val="8.0"/>
      </rPr>
      <t>00025:Razorpay*Zoma</t>
    </r>
  </si>
  <si>
    <r>
      <rPr>
        <rFont val="Arial MT"/>
        <color rgb="FF2D2D2D"/>
        <sz val="8.0"/>
      </rPr>
      <t>to Ltd    Gurgaon       IN</t>
    </r>
  </si>
  <si>
    <r>
      <rPr>
        <rFont val="Arial MT"/>
        <color rgb="FF2D2D2D"/>
        <sz val="8.0"/>
      </rPr>
      <t>D02-NOV-25 17:34:45</t>
    </r>
  </si>
  <si>
    <r>
      <rPr>
        <rFont val="Arial MT"/>
        <color rgb="FF2D2D2D"/>
        <sz val="8.0"/>
      </rPr>
      <t>YESI3530600569</t>
    </r>
  </si>
  <si>
    <r>
      <rPr>
        <rFont val="Arial MT"/>
        <color rgb="FF2D2D2D"/>
        <sz val="8.0"/>
      </rPr>
      <t>IMPS/NA/XXXX0054/RR</t>
    </r>
  </si>
  <si>
    <r>
      <rPr>
        <rFont val="Arial MT"/>
        <color rgb="FF2D2D2D"/>
        <sz val="8.0"/>
      </rPr>
      <t>N:530661079330/646621</t>
    </r>
  </si>
  <si>
    <r>
      <rPr>
        <rFont val="Arial MT"/>
        <color rgb="FF2D2D2D"/>
        <sz val="8.0"/>
      </rPr>
      <t>78732379892227/IDFC F</t>
    </r>
  </si>
  <si>
    <r>
      <rPr>
        <rFont val="Arial MT"/>
        <color rgb="FF2D2D2D"/>
        <sz val="8.0"/>
      </rPr>
      <t>IRST BANK LTD/Mrs Ank</t>
    </r>
  </si>
  <si>
    <r>
      <rPr>
        <rFont val="Arial MT"/>
        <color rgb="FF2D2D2D"/>
        <sz val="8.0"/>
      </rPr>
      <t>ita Suresh Jadhav/Salary</t>
    </r>
  </si>
  <si>
    <r>
      <rPr>
        <rFont val="Arial MT"/>
        <color rgb="FF2D2D2D"/>
        <sz val="8.0"/>
      </rPr>
      <t>YESI3530700706</t>
    </r>
  </si>
  <si>
    <r>
      <rPr>
        <rFont val="Arial MT"/>
        <color rgb="FF2D2D2D"/>
        <sz val="8.0"/>
      </rPr>
      <t>IMPS/NA/XXXX1123/RRN:53</t>
    </r>
  </si>
  <si>
    <t>Tool purchase</t>
  </si>
  <si>
    <r>
      <rPr>
        <rFont val="Arial MT"/>
        <color rgb="FF2D2D2D"/>
        <sz val="8.0"/>
      </rPr>
      <t>0761645156/6538379842718</t>
    </r>
  </si>
  <si>
    <r>
      <rPr>
        <rFont val="Arial MT"/>
        <color rgb="FF2D2D2D"/>
        <sz val="8.0"/>
      </rPr>
      <t>711867/HDFC BANK/Jaideo</t>
    </r>
  </si>
  <si>
    <r>
      <rPr>
        <rFont val="Arial MT"/>
        <color rgb="FF2D2D2D"/>
        <sz val="8.0"/>
      </rPr>
      <t>Prasad Tanti/Tool purchase</t>
    </r>
  </si>
  <si>
    <r>
      <rPr>
        <rFont val="Arial MT"/>
        <color rgb="FF2D2D2D"/>
        <sz val="8.0"/>
      </rPr>
      <t>YESI3530701012</t>
    </r>
  </si>
  <si>
    <r>
      <rPr>
        <rFont val="Arial MT"/>
        <color rgb="FF2D2D2D"/>
        <sz val="8.0"/>
      </rPr>
      <t>IMPS/NA/XXXX1343/RR</t>
    </r>
  </si>
  <si>
    <t>TM Salary</t>
  </si>
  <si>
    <r>
      <rPr>
        <rFont val="Arial MT"/>
        <color rgb="FF2D2D2D"/>
        <sz val="8.0"/>
      </rPr>
      <t>N:530761793259/655146</t>
    </r>
  </si>
  <si>
    <r>
      <rPr>
        <rFont val="Arial MT"/>
        <color rgb="FF2D2D2D"/>
        <sz val="8.0"/>
      </rPr>
      <t>72121125903362/KOTAK</t>
    </r>
  </si>
  <si>
    <r>
      <rPr>
        <rFont val="Arial MT"/>
        <color rgb="FF2D2D2D"/>
        <sz val="8.0"/>
      </rPr>
      <t>MAHINDRA BANK LIMI</t>
    </r>
  </si>
  <si>
    <r>
      <rPr>
        <rFont val="Arial MT"/>
        <color rgb="FF2D2D2D"/>
        <sz val="8.0"/>
      </rPr>
      <t>TED/Tushar Mane/Salary</t>
    </r>
  </si>
  <si>
    <r>
      <rPr>
        <rFont val="Arial MT"/>
        <color rgb="FF2D2D2D"/>
        <sz val="8.0"/>
      </rPr>
      <t>PCA:5301:470000087032192</t>
    </r>
  </si>
  <si>
    <t>Vista print</t>
  </si>
  <si>
    <r>
      <rPr>
        <rFont val="Arial MT"/>
        <color rgb="FF2D2D2D"/>
        <sz val="8.0"/>
      </rPr>
      <t>:IND*VistaPrint         MUMBAI</t>
    </r>
  </si>
  <si>
    <r>
      <rPr>
        <rFont val="Arial MT"/>
        <color rgb="FF2D2D2D"/>
        <sz val="8.0"/>
      </rPr>
      <t>IND05-NOV-25 22:59:56</t>
    </r>
  </si>
  <si>
    <r>
      <rPr>
        <rFont val="Arial MT"/>
        <color rgb="FF2D2D2D"/>
        <sz val="8.0"/>
      </rPr>
      <t>YESI3531001214</t>
    </r>
  </si>
  <si>
    <r>
      <rPr>
        <rFont val="Arial MT"/>
        <color rgb="FF2D2D2D"/>
        <sz val="8.0"/>
      </rPr>
      <t>IMPS/NA/XXXX9542/RRN</t>
    </r>
  </si>
  <si>
    <r>
      <rPr>
        <rFont val="Arial MT"/>
        <color rgb="FF2D2D2D"/>
        <sz val="8.0"/>
      </rPr>
      <t>:531063609792/60429079</t>
    </r>
  </si>
  <si>
    <r>
      <rPr>
        <rFont val="Arial MT"/>
        <color rgb="FF2D2D2D"/>
        <sz val="8.0"/>
      </rPr>
      <t>047998155271/KOTAK M</t>
    </r>
  </si>
  <si>
    <r>
      <rPr>
        <rFont val="Arial MT"/>
        <color rgb="FF2D2D2D"/>
        <sz val="8.0"/>
      </rPr>
      <t>AHINDRA BANK LIMITED</t>
    </r>
  </si>
  <si>
    <r>
      <rPr>
        <rFont val="Arial MT"/>
        <color rgb="FF2D2D2D"/>
        <sz val="8.0"/>
      </rPr>
      <t>/AVANISH DEVENDRA D</t>
    </r>
  </si>
  <si>
    <r>
      <rPr>
        <rFont val="Arial MT"/>
        <color rgb="FF2D2D2D"/>
        <sz val="8.0"/>
      </rPr>
      <t>ESHMUKH SONAL DEV/M</t>
    </r>
  </si>
  <si>
    <r>
      <rPr>
        <rFont val="Arial MT"/>
        <color rgb="FF2D2D2D"/>
        <sz val="8.0"/>
      </rPr>
      <t>YESI3531100196</t>
    </r>
  </si>
  <si>
    <r>
      <rPr>
        <rFont val="Arial MT"/>
        <color rgb="FF2D2D2D"/>
        <sz val="8.0"/>
      </rPr>
      <t>IMPS/NA/XXXX8029/RR</t>
    </r>
  </si>
  <si>
    <r>
      <rPr>
        <rFont val="Arial MT"/>
        <color rgb="FF2D2D2D"/>
        <sz val="8.0"/>
      </rPr>
      <t>N:531163802892/608514</t>
    </r>
  </si>
  <si>
    <r>
      <rPr>
        <rFont val="Arial MT"/>
        <color rgb="FF2D2D2D"/>
        <sz val="8.0"/>
      </rPr>
      <t>99591635186602/AU SM</t>
    </r>
  </si>
  <si>
    <r>
      <rPr>
        <rFont val="Arial MT"/>
        <color rgb="FF2D2D2D"/>
        <sz val="8.0"/>
      </rPr>
      <t>ALL FINANCE BANK LIM</t>
    </r>
  </si>
  <si>
    <r>
      <rPr>
        <rFont val="Arial MT"/>
        <color rgb="FF2D2D2D"/>
        <sz val="8.0"/>
      </rPr>
      <t>ITED/Ojas Phalke/Drone</t>
    </r>
  </si>
  <si>
    <r>
      <rPr>
        <rFont val="Arial MT"/>
        <color rgb="FF2D2D2D"/>
        <sz val="8.0"/>
      </rPr>
      <t>YESI3531500233</t>
    </r>
  </si>
  <si>
    <r>
      <rPr>
        <rFont val="Arial MT"/>
        <color rgb="FF2D2D2D"/>
        <sz val="8.0"/>
      </rPr>
      <t>IMPS/NA/XXXX3440/RRN:5</t>
    </r>
  </si>
  <si>
    <t>Gupta and Tingrenagar fabrication advance</t>
  </si>
  <si>
    <r>
      <rPr>
        <rFont val="Arial MT"/>
        <color rgb="FF2D2D2D"/>
        <sz val="8.0"/>
      </rPr>
      <t>31566145281/293904990864</t>
    </r>
  </si>
  <si>
    <r>
      <rPr>
        <rFont val="Arial MT"/>
        <color rgb="FF2D2D2D"/>
        <sz val="8.0"/>
      </rPr>
      <t>6205754/STATE BANK OF I</t>
    </r>
  </si>
  <si>
    <r>
      <rPr>
        <rFont val="Arial MT"/>
        <color rgb="FF2D2D2D"/>
        <sz val="8.0"/>
      </rPr>
      <t>NDIA/Keshav M Khopade/Gu</t>
    </r>
  </si>
  <si>
    <r>
      <rPr>
        <rFont val="Arial MT"/>
        <color rgb="FF2D2D2D"/>
        <sz val="8.0"/>
      </rPr>
      <t>pta and Tingrenagar Fabrica</t>
    </r>
  </si>
  <si>
    <r>
      <rPr>
        <rFont val="Arial MT"/>
        <color rgb="FF2D2D2D"/>
        <sz val="8.0"/>
      </rPr>
      <t>YESI3531600579</t>
    </r>
  </si>
  <si>
    <r>
      <rPr>
        <rFont val="Arial MT"/>
        <color rgb="FF2D2D2D"/>
        <sz val="8.0"/>
      </rPr>
      <t>IMPS/NA/XXXX4006/RRN:5</t>
    </r>
  </si>
  <si>
    <t>Gupta extension SPV</t>
  </si>
  <si>
    <r>
      <rPr>
        <rFont val="Arial MT"/>
        <color rgb="FF2D2D2D"/>
        <sz val="8.0"/>
      </rPr>
      <t>31666906630/39381411217</t>
    </r>
  </si>
  <si>
    <r>
      <rPr>
        <rFont val="Arial MT"/>
        <color rgb="FF2D2D2D"/>
        <sz val="8.0"/>
      </rPr>
      <t>51566893/ICICI BANK LIMI</t>
    </r>
  </si>
  <si>
    <r>
      <rPr>
        <rFont val="Arial MT"/>
        <color rgb="FF2D2D2D"/>
        <sz val="8.0"/>
      </rPr>
      <t>TED/Suryatech Solar Syste</t>
    </r>
  </si>
  <si>
    <t>ms Private Lim/Gupta exten</t>
  </si>
  <si>
    <r>
      <rPr>
        <rFont val="Arial MT"/>
        <color rgb="FF2D2D2D"/>
        <sz val="8.0"/>
      </rPr>
      <t>PCA:5301:6H7N6hlc00</t>
    </r>
  </si>
  <si>
    <r>
      <rPr>
        <rFont val="Arial MT"/>
        <color rgb="FF2D2D2D"/>
        <sz val="8.0"/>
      </rPr>
      <t>00025:Razorpay*Zoma</t>
    </r>
  </si>
  <si>
    <r>
      <rPr>
        <rFont val="Arial MT"/>
        <color rgb="FF2D2D2D"/>
        <sz val="8.0"/>
      </rPr>
      <t>to Ltd    Gurgaon       IN</t>
    </r>
  </si>
  <si>
    <r>
      <rPr>
        <rFont val="Arial MT"/>
        <color rgb="FF2D2D2D"/>
        <sz val="8.0"/>
      </rPr>
      <t>D13-NOV-25 21:21:50</t>
    </r>
  </si>
  <si>
    <r>
      <rPr>
        <rFont val="Arial MT"/>
        <color rgb="FF2D2D2D"/>
        <sz val="8.0"/>
      </rPr>
      <t>YESI3531800318</t>
    </r>
  </si>
  <si>
    <r>
      <rPr>
        <rFont val="Arial MT"/>
        <color rgb="FF2D2D2D"/>
        <sz val="8.0"/>
      </rPr>
      <t>IMPS/NA/XXXX4015/RRN:</t>
    </r>
  </si>
  <si>
    <t>Fail</t>
  </si>
  <si>
    <r>
      <rPr>
        <rFont val="Arial MT"/>
        <color rgb="FF2D2D2D"/>
        <sz val="8.0"/>
      </rPr>
      <t>531867956190/PA5434561</t>
    </r>
  </si>
  <si>
    <r>
      <rPr>
        <rFont val="Arial MT"/>
        <color rgb="FF2D2D2D"/>
        <sz val="8.0"/>
      </rPr>
      <t>8886985443/ICICI BANK LI</t>
    </r>
  </si>
  <si>
    <r>
      <rPr>
        <rFont val="Arial MT"/>
        <color rgb="FF2D2D2D"/>
        <sz val="8.0"/>
      </rPr>
      <t>MITED/J P ENTERPRISES</t>
    </r>
  </si>
  <si>
    <r>
      <rPr>
        <rFont val="Arial MT"/>
        <color rgb="FF2D2D2D"/>
        <sz val="8.0"/>
      </rPr>
      <t>/Tingrenagar 5KW Advance</t>
    </r>
  </si>
  <si>
    <r>
      <rPr>
        <rFont val="Arial MT"/>
        <color rgb="FF2D2D2D"/>
        <sz val="8.0"/>
      </rPr>
      <t>REVYBP53183601</t>
    </r>
  </si>
  <si>
    <r>
      <rPr>
        <rFont val="Arial MT"/>
        <color rgb="FF2D2D2D"/>
        <sz val="8.0"/>
      </rPr>
      <t>IMPS/NA/XXX4015/REV/RR</t>
    </r>
  </si>
  <si>
    <r>
      <rPr>
        <rFont val="Arial MT"/>
        <color rgb="FF2D2D2D"/>
        <sz val="8.0"/>
      </rPr>
      <t>N:531867956190/PA543456</t>
    </r>
  </si>
  <si>
    <r>
      <rPr>
        <rFont val="Arial MT"/>
        <color rgb="FF2D2D2D"/>
        <sz val="8.0"/>
      </rPr>
      <t>18886985443/ICICI BANK L</t>
    </r>
  </si>
  <si>
    <r>
      <rPr>
        <rFont val="Arial MT"/>
        <color rgb="FF2D2D2D"/>
        <sz val="8.0"/>
      </rPr>
      <t>IMITED/J P ENTERPRISES</t>
    </r>
  </si>
  <si>
    <r>
      <rPr>
        <rFont val="Arial MT"/>
        <color rgb="FF2D2D2D"/>
        <sz val="8.0"/>
      </rPr>
      <t>/Tingrenagar 5KW Advance</t>
    </r>
  </si>
  <si>
    <r>
      <rPr>
        <rFont val="Arial MT"/>
        <color rgb="FF2D2D2D"/>
        <sz val="8.0"/>
      </rPr>
      <t>YBS5318852230</t>
    </r>
  </si>
  <si>
    <r>
      <rPr>
        <rFont val="Arial MT"/>
        <color rgb="FF2D2D2D"/>
        <sz val="8.0"/>
      </rPr>
      <t>UPI/568456943859/Fro</t>
    </r>
  </si>
  <si>
    <t>3D printer</t>
  </si>
  <si>
    <r>
      <rPr>
        <rFont val="Arial MT"/>
        <color rgb="FF2D2D2D"/>
        <sz val="8.0"/>
      </rPr>
      <t>m:sonaldesh@okaxis/To</t>
    </r>
  </si>
  <si>
    <r>
      <rPr>
        <rFont val="Arial MT"/>
        <color rgb="FF2D2D2D"/>
        <sz val="8.0"/>
      </rPr>
      <t>:041263400006460@ye</t>
    </r>
  </si>
  <si>
    <r>
      <rPr>
        <rFont val="Arial MT"/>
        <color rgb="FF2D2D2D"/>
        <sz val="8.0"/>
      </rPr>
      <t>sb0000412.ifsc.npci/UPI</t>
    </r>
  </si>
  <si>
    <r>
      <rPr>
        <rFont val="Arial MT"/>
        <color rgb="FF2D2D2D"/>
        <sz val="8.0"/>
      </rPr>
      <t>YESI3531800519</t>
    </r>
  </si>
  <si>
    <r>
      <rPr>
        <rFont val="Arial MT"/>
        <color rgb="FF2D2D2D"/>
        <sz val="8.0"/>
      </rPr>
      <t>IMPS/NA/XXXX9674/RR</t>
    </r>
  </si>
  <si>
    <r>
      <rPr>
        <rFont val="Arial MT"/>
        <color rgb="FF2D2D2D"/>
        <sz val="8.0"/>
      </rPr>
      <t>N:531868053444/56587</t>
    </r>
  </si>
  <si>
    <r>
      <rPr>
        <rFont val="Arial MT"/>
        <color rgb="FF2D2D2D"/>
        <sz val="8.0"/>
      </rPr>
      <t>75869808905371/KOTA</t>
    </r>
  </si>
  <si>
    <r>
      <rPr>
        <rFont val="Arial MT"/>
        <color rgb="FF2D2D2D"/>
        <sz val="8.0"/>
      </rPr>
      <t>K MAHINDRA BANK LI</t>
    </r>
  </si>
  <si>
    <r>
      <rPr>
        <rFont val="Arial MT"/>
        <color rgb="FF2D2D2D"/>
        <sz val="8.0"/>
      </rPr>
      <t>MITED/ZEE3D/MOBTXN</t>
    </r>
  </si>
  <si>
    <r>
      <rPr>
        <rFont val="Arial MT"/>
        <color rgb="FF2D2D2D"/>
        <sz val="8.0"/>
      </rPr>
      <t>YES0N531899477</t>
    </r>
  </si>
  <si>
    <r>
      <rPr>
        <rFont val="Arial MT"/>
        <color rgb="FF2D2D2D"/>
        <sz val="8.0"/>
      </rPr>
      <t>NEFT Cr-MAHB0000447-D</t>
    </r>
  </si>
  <si>
    <t>Date engineering</t>
  </si>
  <si>
    <r>
      <rPr>
        <rFont val="Arial MT"/>
        <color rgb="FF2D2D2D"/>
        <sz val="8.0"/>
      </rPr>
      <t>ATE ENGINEERING INDI</t>
    </r>
  </si>
  <si>
    <r>
      <rPr>
        <rFont val="Arial MT"/>
        <color rgb="FF2D2D2D"/>
        <sz val="8.0"/>
      </rPr>
      <t>A PR-rolling energy Opc pr</t>
    </r>
  </si>
  <si>
    <r>
      <rPr>
        <rFont val="Arial MT"/>
        <color rgb="FF2D2D2D"/>
        <sz val="8.0"/>
      </rPr>
      <t>ivat-MAHBH00431288296</t>
    </r>
  </si>
  <si>
    <r>
      <rPr>
        <rFont val="Arial MT"/>
        <color rgb="FF2D2D2D"/>
        <sz val="8.0"/>
      </rPr>
      <t>YESI3531800825</t>
    </r>
  </si>
  <si>
    <r>
      <rPr>
        <rFont val="Arial MT"/>
        <color rgb="FF2D2D2D"/>
        <sz val="8.0"/>
      </rPr>
      <t>IMPS/NA/XXXX7249/RRN:53</t>
    </r>
  </si>
  <si>
    <t>Earthing Tingrenagar</t>
  </si>
  <si>
    <r>
      <rPr>
        <rFont val="Arial MT"/>
        <color rgb="FF2D2D2D"/>
        <sz val="8.0"/>
      </rPr>
      <t>1868164806/5783513342828</t>
    </r>
  </si>
  <si>
    <r>
      <rPr>
        <rFont val="Arial MT"/>
        <color rgb="FF2D2D2D"/>
        <sz val="8.0"/>
      </rPr>
      <t>848403/HDFC BANK/Konnar</t>
    </r>
  </si>
  <si>
    <r>
      <rPr>
        <rFont val="Arial MT"/>
        <color rgb="FF2D2D2D"/>
        <sz val="8.0"/>
      </rPr>
      <t>k earthing solutions/Earthing</t>
    </r>
  </si>
  <si>
    <r>
      <rPr>
        <rFont val="Arial MT"/>
        <color rgb="FF2D2D2D"/>
        <sz val="8.0"/>
      </rPr>
      <t>YESI3531800844</t>
    </r>
  </si>
  <si>
    <r>
      <rPr>
        <rFont val="Arial MT"/>
        <color rgb="FF2D2D2D"/>
        <sz val="8.0"/>
      </rPr>
      <t>IMPS/NA/XXXX7165/RRN</t>
    </r>
  </si>
  <si>
    <t xml:space="preserve">Earthing </t>
  </si>
  <si>
    <r>
      <rPr>
        <rFont val="Arial MT"/>
        <color rgb="FF2D2D2D"/>
        <sz val="8.0"/>
      </rPr>
      <t>:531868165748/5453998</t>
    </r>
  </si>
  <si>
    <r>
      <rPr>
        <rFont val="Arial MT"/>
        <color rgb="FF2D2D2D"/>
        <sz val="8.0"/>
      </rPr>
      <t>4991364775901/UNION B</t>
    </r>
  </si>
  <si>
    <r>
      <rPr>
        <rFont val="Arial MT"/>
        <color rgb="FF2D2D2D"/>
        <sz val="8.0"/>
      </rPr>
      <t>ANK OF INDIA/Karman E</t>
    </r>
  </si>
  <si>
    <r>
      <rPr>
        <rFont val="Arial MT"/>
        <color rgb="FF2D2D2D"/>
        <sz val="8.0"/>
      </rPr>
      <t>arthing Solutions/earthing</t>
    </r>
  </si>
  <si>
    <r>
      <rPr>
        <rFont val="Arial MT"/>
        <color rgb="FF2D2D2D"/>
        <sz val="8.0"/>
      </rPr>
      <t>YESI3531800828</t>
    </r>
  </si>
  <si>
    <r>
      <rPr>
        <rFont val="Arial MT"/>
        <color rgb="FF2D2D2D"/>
        <sz val="8.0"/>
      </rPr>
      <t>IMPS/NA/XXXX5494/RRN:53</t>
    </r>
  </si>
  <si>
    <t>Electrical purchase Tingrenagar and Gupta</t>
  </si>
  <si>
    <r>
      <rPr>
        <rFont val="Arial MT"/>
        <color rgb="FF2D2D2D"/>
        <sz val="8.0"/>
      </rPr>
      <t>1868166929/5456799211255</t>
    </r>
  </si>
  <si>
    <r>
      <rPr>
        <rFont val="Arial MT"/>
        <color rgb="FF2D2D2D"/>
        <sz val="8.0"/>
      </rPr>
      <t>4702029/HDFC BANK/SANS</t>
    </r>
  </si>
  <si>
    <r>
      <rPr>
        <rFont val="Arial MT"/>
        <color rgb="FF2D2D2D"/>
        <sz val="8.0"/>
      </rPr>
      <t>KRUTI ELECTRIC COM/Elec</t>
    </r>
  </si>
  <si>
    <r>
      <rPr>
        <rFont val="Arial MT"/>
        <color rgb="FF2D2D2D"/>
        <sz val="8.0"/>
      </rPr>
      <t>trical Wakad and Tingrenagar</t>
    </r>
  </si>
  <si>
    <r>
      <rPr>
        <rFont val="Arial MT"/>
        <color rgb="FF2D2D2D"/>
        <sz val="8.0"/>
      </rPr>
      <t>PCA:5301:4700000870</t>
    </r>
  </si>
  <si>
    <t>Linkkedin</t>
  </si>
  <si>
    <r>
      <rPr>
        <rFont val="Arial MT"/>
        <color rgb="FF2D2D2D"/>
        <sz val="8.0"/>
      </rPr>
      <t>13369:IND*LinkedIn (P</t>
    </r>
  </si>
  <si>
    <r>
      <rPr>
        <rFont val="Arial MT"/>
        <color rgb="FF2D2D2D"/>
        <sz val="8.0"/>
      </rPr>
      <t>GSI)    MUMBAI        IN</t>
    </r>
  </si>
  <si>
    <r>
      <rPr>
        <rFont val="Arial MT"/>
        <color rgb="FF2D2D2D"/>
        <sz val="8.0"/>
      </rPr>
      <t>D14-NOV-25 18:54:22</t>
    </r>
  </si>
  <si>
    <r>
      <rPr>
        <rFont val="Arial MT"/>
        <color rgb="FF2D2D2D"/>
        <sz val="8.0"/>
      </rPr>
      <t>YESI3531900840</t>
    </r>
  </si>
  <si>
    <r>
      <rPr>
        <rFont val="Arial MT"/>
        <color rgb="FF2D2D2D"/>
        <sz val="8.0"/>
      </rPr>
      <t>IMPS/NA/XXXX4015/RR</t>
    </r>
  </si>
  <si>
    <r>
      <rPr>
        <rFont val="Arial MT"/>
        <color rgb="FF2D2D2D"/>
        <sz val="8.0"/>
      </rPr>
      <t>N:531968727698/669712</t>
    </r>
  </si>
  <si>
    <r>
      <rPr>
        <rFont val="Arial MT"/>
        <color rgb="FF2D2D2D"/>
        <sz val="8.0"/>
      </rPr>
      <t>7854332151885/ICICI BA</t>
    </r>
  </si>
  <si>
    <r>
      <rPr>
        <rFont val="Arial MT"/>
        <color rgb="FF2D2D2D"/>
        <sz val="8.0"/>
      </rPr>
      <t>NK LIMITED/J P ENTERP</t>
    </r>
  </si>
  <si>
    <r>
      <rPr>
        <rFont val="Arial MT"/>
        <color rgb="FF2D2D2D"/>
        <sz val="8.0"/>
      </rPr>
      <t>RISES/5KW Tingrenagar</t>
    </r>
  </si>
  <si>
    <r>
      <rPr>
        <rFont val="Arial MT"/>
        <color rgb="FF2D2D2D"/>
        <sz val="8.0"/>
      </rPr>
      <t>REVYBP53193611</t>
    </r>
  </si>
  <si>
    <r>
      <rPr>
        <rFont val="Arial MT"/>
        <color rgb="FF2D2D2D"/>
        <sz val="8.0"/>
      </rPr>
      <t>IMPS/NA/XXX4015/REV/</t>
    </r>
  </si>
  <si>
    <r>
      <rPr>
        <rFont val="Arial MT"/>
        <color rgb="FF2D2D2D"/>
        <sz val="8.0"/>
      </rPr>
      <t>RRN:531968727698/6697</t>
    </r>
  </si>
  <si>
    <r>
      <rPr>
        <rFont val="Arial MT"/>
        <color rgb="FF2D2D2D"/>
        <sz val="8.0"/>
      </rPr>
      <t>127854332151885/ICICI B</t>
    </r>
  </si>
  <si>
    <r>
      <rPr>
        <rFont val="Arial MT"/>
        <color rgb="FF2D2D2D"/>
        <sz val="8.0"/>
      </rPr>
      <t>ANK LIMITED/J P ENTER</t>
    </r>
  </si>
  <si>
    <r>
      <rPr>
        <rFont val="Arial MT"/>
        <color rgb="FF2D2D2D"/>
        <sz val="8.0"/>
      </rPr>
      <t>PRISES/5KW Tingrenagar</t>
    </r>
  </si>
  <si>
    <r>
      <rPr>
        <rFont val="Arial MT"/>
        <color rgb="FF2D2D2D"/>
        <sz val="8.0"/>
      </rPr>
      <t>YESI3531900837</t>
    </r>
  </si>
  <si>
    <r>
      <rPr>
        <rFont val="Arial MT"/>
        <color rgb="FF2D2D2D"/>
        <sz val="8.0"/>
      </rPr>
      <t>IMPS/NA/XXXX4015/RR</t>
    </r>
  </si>
  <si>
    <r>
      <rPr>
        <rFont val="Arial MT"/>
        <color rgb="FF2D2D2D"/>
        <sz val="8.0"/>
      </rPr>
      <t>N:531968729127/666325</t>
    </r>
  </si>
  <si>
    <r>
      <rPr>
        <rFont val="Arial MT"/>
        <color rgb="FF2D2D2D"/>
        <sz val="8.0"/>
      </rPr>
      <t>4634148765945/ICICI BA</t>
    </r>
  </si>
  <si>
    <r>
      <rPr>
        <rFont val="Arial MT"/>
        <color rgb="FF2D2D2D"/>
        <sz val="8.0"/>
      </rPr>
      <t>NK LIMITED/J P ENTERP</t>
    </r>
  </si>
  <si>
    <r>
      <rPr>
        <rFont val="Arial MT"/>
        <color rgb="FF2D2D2D"/>
        <sz val="8.0"/>
      </rPr>
      <t>RISES/5KW Tingrenagar</t>
    </r>
  </si>
  <si>
    <r>
      <rPr>
        <rFont val="Arial MT"/>
        <color rgb="FF2D2D2D"/>
        <sz val="8.0"/>
      </rPr>
      <t>REVYBP53193611</t>
    </r>
  </si>
  <si>
    <r>
      <rPr>
        <rFont val="Arial MT"/>
        <color rgb="FF2D2D2D"/>
        <sz val="8.0"/>
      </rPr>
      <t>IMPS/NA/XXX4015/REV/</t>
    </r>
  </si>
  <si>
    <r>
      <rPr>
        <rFont val="Arial MT"/>
        <color rgb="FF2D2D2D"/>
        <sz val="8.0"/>
      </rPr>
      <t>RRN:531968729127/6663</t>
    </r>
  </si>
  <si>
    <r>
      <rPr>
        <rFont val="Arial MT"/>
        <color rgb="FF2D2D2D"/>
        <sz val="8.0"/>
      </rPr>
      <t>254634148765945/ICICI B</t>
    </r>
  </si>
  <si>
    <r>
      <rPr>
        <rFont val="Arial MT"/>
        <color rgb="FF2D2D2D"/>
        <sz val="8.0"/>
      </rPr>
      <t>ANK LIMITED/J P ENTER</t>
    </r>
  </si>
  <si>
    <r>
      <rPr>
        <rFont val="Arial MT"/>
        <color rgb="FF2D2D2D"/>
        <sz val="8.0"/>
      </rPr>
      <t>PRISES/5KW Tingrenagar</t>
    </r>
  </si>
  <si>
    <r>
      <rPr>
        <rFont val="Arial MT"/>
        <color theme="1"/>
        <sz val="8.0"/>
      </rPr>
      <t>YESI3532000027</t>
    </r>
  </si>
  <si>
    <r>
      <rPr>
        <rFont val="Arial MT"/>
        <color theme="1"/>
        <sz val="8.0"/>
      </rPr>
      <t>IMPS/NA/XXXX9542/RRN</t>
    </r>
  </si>
  <si>
    <r>
      <rPr>
        <rFont val="Arial MT"/>
        <color theme="1"/>
        <sz val="8.0"/>
      </rPr>
      <t>:532068840279/68966001</t>
    </r>
  </si>
  <si>
    <r>
      <rPr>
        <rFont val="Arial MT"/>
        <color theme="1"/>
        <sz val="8.0"/>
      </rPr>
      <t>08626559971/KOTAK MA</t>
    </r>
  </si>
  <si>
    <r>
      <rPr>
        <rFont val="Arial MT"/>
        <color theme="1"/>
        <sz val="8.0"/>
      </rPr>
      <t>HINDRA BANK LIMITED/A</t>
    </r>
  </si>
  <si>
    <r>
      <rPr>
        <rFont val="Arial MT"/>
        <color theme="1"/>
        <sz val="8.0"/>
      </rPr>
      <t>VANISH DEVENDRA DES</t>
    </r>
  </si>
  <si>
    <r>
      <rPr>
        <rFont val="Arial MT"/>
        <color theme="1"/>
        <sz val="8.0"/>
      </rPr>
      <t>HMUKH SONAL DEV/MO</t>
    </r>
  </si>
  <si>
    <r>
      <rPr>
        <rFont val="Arial MT"/>
        <color theme="1"/>
        <sz val="8.0"/>
      </rPr>
      <t>YESI3532000310</t>
    </r>
  </si>
  <si>
    <r>
      <rPr>
        <rFont val="Arial MT"/>
        <color theme="1"/>
        <sz val="8.0"/>
      </rPr>
      <t>IMPS/NA/XXXX8029/RR</t>
    </r>
  </si>
  <si>
    <r>
      <rPr>
        <rFont val="Arial MT"/>
        <color theme="1"/>
        <sz val="8.0"/>
      </rPr>
      <t>N:532069007609/731887</t>
    </r>
  </si>
  <si>
    <r>
      <rPr>
        <rFont val="Arial MT"/>
        <color theme="1"/>
        <sz val="8.0"/>
      </rPr>
      <t>1932658322161/AU SMA</t>
    </r>
  </si>
  <si>
    <r>
      <rPr>
        <rFont val="Arial MT"/>
        <color theme="1"/>
        <sz val="8.0"/>
      </rPr>
      <t>LL FINANCE BANK LIMIT</t>
    </r>
  </si>
  <si>
    <r>
      <rPr>
        <rFont val="Arial MT"/>
        <color theme="1"/>
        <sz val="8.0"/>
      </rPr>
      <t>ED/Ojas Phalke/MOBTXN</t>
    </r>
  </si>
  <si>
    <r>
      <rPr>
        <rFont val="Arial MT"/>
        <color theme="1"/>
        <sz val="8.0"/>
      </rPr>
      <t>YESI3532000385</t>
    </r>
  </si>
  <si>
    <r>
      <rPr>
        <rFont val="Arial MT"/>
        <color theme="1"/>
        <sz val="8.0"/>
      </rPr>
      <t>IMPS/NA/XXXX9542/RRN</t>
    </r>
  </si>
  <si>
    <r>
      <rPr>
        <rFont val="Arial MT"/>
        <color theme="1"/>
        <sz val="8.0"/>
      </rPr>
      <t>:532069039520/74070343</t>
    </r>
  </si>
  <si>
    <r>
      <rPr>
        <rFont val="Arial MT"/>
        <color theme="1"/>
        <sz val="8.0"/>
      </rPr>
      <t>51608909538/KOTAK MA</t>
    </r>
  </si>
  <si>
    <r>
      <rPr>
        <rFont val="Arial MT"/>
        <color theme="1"/>
        <sz val="8.0"/>
      </rPr>
      <t>HINDRA BANK LIMITED/A</t>
    </r>
  </si>
  <si>
    <r>
      <rPr>
        <rFont val="Arial MT"/>
        <color theme="1"/>
        <sz val="8.0"/>
      </rPr>
      <t>VANISH DEVENDRA DES</t>
    </r>
  </si>
  <si>
    <r>
      <rPr>
        <rFont val="Arial MT"/>
        <color theme="1"/>
        <sz val="8.0"/>
      </rPr>
      <t>HMUKH SONAL DEV/MO</t>
    </r>
  </si>
  <si>
    <r>
      <rPr>
        <rFont val="Arial MT"/>
        <color rgb="FF2D2D2D"/>
        <sz val="8.0"/>
      </rPr>
      <t>YESI3532100158</t>
    </r>
  </si>
  <si>
    <r>
      <rPr>
        <rFont val="Arial MT"/>
        <color rgb="FF2D2D2D"/>
        <sz val="8.0"/>
      </rPr>
      <t>IMPS/NA/XXXX1123/RRN:5</t>
    </r>
  </si>
  <si>
    <t>JPT Allowance</t>
  </si>
  <si>
    <r>
      <rPr>
        <rFont val="Arial MT"/>
        <color rgb="FF2D2D2D"/>
        <sz val="8.0"/>
      </rPr>
      <t>32169438819/80881024544</t>
    </r>
  </si>
  <si>
    <r>
      <rPr>
        <rFont val="Arial MT"/>
        <color rgb="FF2D2D2D"/>
        <sz val="8.0"/>
      </rPr>
      <t>31785986/HDFC BANK/Jaid</t>
    </r>
  </si>
  <si>
    <r>
      <rPr>
        <rFont val="Arial MT"/>
        <color rgb="FF2D2D2D"/>
        <sz val="8.0"/>
      </rPr>
      <t>eo Prasad Tanti/Overheads</t>
    </r>
  </si>
  <si>
    <r>
      <rPr>
        <rFont val="Arial MT"/>
        <color rgb="FF2D2D2D"/>
        <sz val="8.0"/>
      </rPr>
      <t>YESI3532100739</t>
    </r>
  </si>
  <si>
    <r>
      <rPr>
        <rFont val="Arial MT"/>
        <color rgb="FF2D2D2D"/>
        <sz val="8.0"/>
      </rPr>
      <t>IMPS/NA/XXXX4015/RR</t>
    </r>
  </si>
  <si>
    <r>
      <rPr>
        <rFont val="Arial MT"/>
        <color rgb="FF2D2D2D"/>
        <sz val="8.0"/>
      </rPr>
      <t>N:532169701449/571138</t>
    </r>
  </si>
  <si>
    <r>
      <rPr>
        <rFont val="Arial MT"/>
        <color rgb="FF2D2D2D"/>
        <sz val="8.0"/>
      </rPr>
      <t>68399517665645/ICICI B</t>
    </r>
  </si>
  <si>
    <r>
      <rPr>
        <rFont val="Arial MT"/>
        <color rgb="FF2D2D2D"/>
        <sz val="8.0"/>
      </rPr>
      <t>ANK LIMITED/J P ENTER</t>
    </r>
  </si>
  <si>
    <r>
      <rPr>
        <rFont val="Arial MT"/>
        <color rgb="FF2D2D2D"/>
        <sz val="8.0"/>
      </rPr>
      <t>PRISES/5KW tingrenagar</t>
    </r>
  </si>
  <si>
    <r>
      <rPr>
        <rFont val="Arial MT"/>
        <color rgb="FF2D2D2D"/>
        <sz val="8.0"/>
      </rPr>
      <t>REVYBP53213623</t>
    </r>
  </si>
  <si>
    <r>
      <rPr>
        <rFont val="Arial MT"/>
        <color rgb="FF2D2D2D"/>
        <sz val="8.0"/>
      </rPr>
      <t>IMPS/NA/XXX4015/REV/R</t>
    </r>
  </si>
  <si>
    <r>
      <rPr>
        <rFont val="Arial MT"/>
        <color rgb="FF2D2D2D"/>
        <sz val="8.0"/>
      </rPr>
      <t>RN:532169701449/57113</t>
    </r>
  </si>
  <si>
    <r>
      <rPr>
        <rFont val="Arial MT"/>
        <color rgb="FF2D2D2D"/>
        <sz val="8.0"/>
      </rPr>
      <t>868399517665645/ICICI B</t>
    </r>
  </si>
  <si>
    <r>
      <rPr>
        <rFont val="Arial MT"/>
        <color rgb="FF2D2D2D"/>
        <sz val="8.0"/>
      </rPr>
      <t>ANK LIMITED/J P ENTER</t>
    </r>
  </si>
  <si>
    <r>
      <rPr>
        <rFont val="Arial MT"/>
        <color rgb="FF2D2D2D"/>
        <sz val="8.0"/>
      </rPr>
      <t>PRISES/5KW tingrenagar</t>
    </r>
  </si>
  <si>
    <r>
      <rPr>
        <rFont val="Arial MT"/>
        <color rgb="FF2D2D2D"/>
        <sz val="8.0"/>
      </rPr>
      <t>YESI3532100748</t>
    </r>
  </si>
  <si>
    <r>
      <rPr>
        <rFont val="Arial MT"/>
        <color rgb="FF2D2D2D"/>
        <sz val="8.0"/>
      </rPr>
      <t>IMPS/NA/XXXX4015/RRN:5</t>
    </r>
  </si>
  <si>
    <r>
      <rPr>
        <rFont val="Arial MT"/>
        <color rgb="FF2D2D2D"/>
        <sz val="8.0"/>
      </rPr>
      <t>32169702992/57142614651</t>
    </r>
  </si>
  <si>
    <r>
      <rPr>
        <rFont val="Arial MT"/>
        <color rgb="FF2D2D2D"/>
        <sz val="8.0"/>
      </rPr>
      <t>188546490/ICICI BANK LIMI</t>
    </r>
  </si>
  <si>
    <r>
      <rPr>
        <rFont val="Arial MT"/>
        <color rgb="FF2D2D2D"/>
        <sz val="8.0"/>
      </rPr>
      <t>TED/J P ENTERPRISES/5K</t>
    </r>
  </si>
  <si>
    <r>
      <rPr>
        <rFont val="Arial MT"/>
        <color rgb="FF2D2D2D"/>
        <sz val="8.0"/>
      </rPr>
      <t>W tingrenagar partial Paymen</t>
    </r>
  </si>
  <si>
    <r>
      <rPr>
        <rFont val="Arial MT"/>
        <color rgb="FF2D2D2D"/>
        <sz val="8.0"/>
      </rPr>
      <t>REVYBP53213623</t>
    </r>
  </si>
  <si>
    <r>
      <rPr>
        <rFont val="Arial MT"/>
        <color rgb="FF2D2D2D"/>
        <sz val="8.0"/>
      </rPr>
      <t>IMPS/NA/XXX4015/REV/RR</t>
    </r>
  </si>
  <si>
    <r>
      <rPr>
        <rFont val="Arial MT"/>
        <color rgb="FF2D2D2D"/>
        <sz val="8.0"/>
      </rPr>
      <t>N:532169702992/571426146</t>
    </r>
  </si>
  <si>
    <r>
      <rPr>
        <rFont val="Arial MT"/>
        <color rgb="FF2D2D2D"/>
        <sz val="8.0"/>
      </rPr>
      <t>51188546490/ICICI BANK L</t>
    </r>
  </si>
  <si>
    <r>
      <rPr>
        <rFont val="Arial MT"/>
        <color rgb="FF2D2D2D"/>
        <sz val="8.0"/>
      </rPr>
      <t>IMITED/J P ENTERPRISES/</t>
    </r>
  </si>
  <si>
    <r>
      <rPr>
        <rFont val="Arial MT"/>
        <color rgb="FF2D2D2D"/>
        <sz val="8.0"/>
      </rPr>
      <t>5KW tingrenagar partial Pay</t>
    </r>
  </si>
  <si>
    <r>
      <rPr>
        <rFont val="Arial MT"/>
        <color rgb="FF2D2D2D"/>
        <sz val="8.0"/>
      </rPr>
      <t>PCA:5301:470000087025329</t>
    </r>
  </si>
  <si>
    <r>
      <rPr>
        <rFont val="Arial MT"/>
        <color rgb="FF2D2D2D"/>
        <sz val="8.0"/>
      </rPr>
      <t>:IND*LinkedIn           MUMBAI</t>
    </r>
  </si>
  <si>
    <r>
      <rPr>
        <rFont val="Arial MT"/>
        <color rgb="FF2D2D2D"/>
        <sz val="8.0"/>
      </rPr>
      <t>IND17-NOV-25 23:07:42</t>
    </r>
  </si>
  <si>
    <r>
      <rPr>
        <rFont val="Arial MT"/>
        <color rgb="FF2D2D2D"/>
        <sz val="8.0"/>
      </rPr>
      <t>PCA:5301:470000087025329</t>
    </r>
  </si>
  <si>
    <r>
      <rPr>
        <rFont val="Arial MT"/>
        <color rgb="FF2D2D2D"/>
        <sz val="8.0"/>
      </rPr>
      <t>:IND*LinkedIn           MUMBAI</t>
    </r>
  </si>
  <si>
    <r>
      <rPr>
        <rFont val="Arial MT"/>
        <color rgb="FF2D2D2D"/>
        <sz val="8.0"/>
      </rPr>
      <t>IND17-NOV-25 23:31:44</t>
    </r>
  </si>
  <si>
    <r>
      <rPr>
        <rFont val="Arial MT"/>
        <color rgb="FF2D2D2D"/>
        <sz val="8.0"/>
      </rPr>
      <t>YESI3532101087</t>
    </r>
  </si>
  <si>
    <r>
      <rPr>
        <rFont val="Arial MT"/>
        <color rgb="FF2D2D2D"/>
        <sz val="8.0"/>
      </rPr>
      <t>IMPS/NA/XXXX5396/RRN:53</t>
    </r>
  </si>
  <si>
    <t>SC allowance</t>
  </si>
  <si>
    <r>
      <rPr>
        <rFont val="Arial MT"/>
        <color rgb="FF2D2D2D"/>
        <sz val="8.0"/>
      </rPr>
      <t>2169872465/8545527755958</t>
    </r>
  </si>
  <si>
    <r>
      <rPr>
        <rFont val="Arial MT"/>
        <color rgb="FF2D2D2D"/>
        <sz val="8.0"/>
      </rPr>
      <t>153942/STATE BANK OF IN</t>
    </r>
  </si>
  <si>
    <r>
      <rPr>
        <rFont val="Arial MT"/>
        <color rgb="FF2D2D2D"/>
        <sz val="8.0"/>
      </rPr>
      <t>DIA/SAMBHAJI DILIPRAO C</t>
    </r>
  </si>
  <si>
    <r>
      <rPr>
        <rFont val="Arial MT"/>
        <color rgb="FF2D2D2D"/>
        <sz val="8.0"/>
      </rPr>
      <t>HAVHAN/Medical Allowance</t>
    </r>
  </si>
  <si>
    <r>
      <rPr>
        <rFont val="Arial MT"/>
        <color rgb="FF2D2D2D"/>
        <sz val="8.0"/>
      </rPr>
      <t>YESI3532200415</t>
    </r>
  </si>
  <si>
    <r>
      <rPr>
        <rFont val="Arial MT"/>
        <color rgb="FF2D2D2D"/>
        <sz val="8.0"/>
      </rPr>
      <t>IMPS/NA/XXXX9542/RRN</t>
    </r>
  </si>
  <si>
    <t>Tingrenagar SPV 5KW final Payment</t>
  </si>
  <si>
    <r>
      <rPr>
        <rFont val="Arial MT"/>
        <color rgb="FF2D2D2D"/>
        <sz val="8.0"/>
      </rPr>
      <t>:532270128546/90421161</t>
    </r>
  </si>
  <si>
    <r>
      <rPr>
        <rFont val="Arial MT"/>
        <color rgb="FF2D2D2D"/>
        <sz val="8.0"/>
      </rPr>
      <t>19897244462/KOTAK MA</t>
    </r>
  </si>
  <si>
    <r>
      <rPr>
        <rFont val="Arial MT"/>
        <color rgb="FF2D2D2D"/>
        <sz val="8.0"/>
      </rPr>
      <t>HINDRA BANK LIMITED/</t>
    </r>
  </si>
  <si>
    <r>
      <rPr>
        <rFont val="Arial MT"/>
        <color rgb="FF2D2D2D"/>
        <sz val="8.0"/>
      </rPr>
      <t>AVANISH DEVENDRA DE</t>
    </r>
  </si>
  <si>
    <r>
      <rPr>
        <rFont val="Arial MT"/>
        <color rgb="FF2D2D2D"/>
        <sz val="8.0"/>
      </rPr>
      <t>SHMUKH SONAL DEV/Ti</t>
    </r>
  </si>
  <si>
    <r>
      <rPr>
        <rFont val="Arial MT"/>
        <color rgb="FF2D2D2D"/>
        <sz val="8.0"/>
      </rPr>
      <t>YESI3532300088</t>
    </r>
  </si>
  <si>
    <r>
      <rPr>
        <rFont val="Arial MT"/>
        <color rgb="FF2D2D2D"/>
        <sz val="8.0"/>
      </rPr>
      <t>IMPS/NA/XXXX1343/RRN:</t>
    </r>
  </si>
  <si>
    <t>Park 59 Generation meter testing</t>
  </si>
  <si>
    <r>
      <rPr>
        <rFont val="Arial MT"/>
        <color rgb="FF2D2D2D"/>
        <sz val="8.0"/>
      </rPr>
      <t>532370544059/973737245</t>
    </r>
  </si>
  <si>
    <r>
      <rPr>
        <rFont val="Arial MT"/>
        <color rgb="FF2D2D2D"/>
        <sz val="8.0"/>
      </rPr>
      <t>7680001711/KOTAK MAHI</t>
    </r>
  </si>
  <si>
    <r>
      <rPr>
        <rFont val="Arial MT"/>
        <color rgb="FF2D2D2D"/>
        <sz val="8.0"/>
      </rPr>
      <t>NDRA BANK LIMITED/Tus</t>
    </r>
  </si>
  <si>
    <r>
      <rPr>
        <rFont val="Arial MT"/>
        <color rgb="FF2D2D2D"/>
        <sz val="8.0"/>
      </rPr>
      <t>har Mane/Gen meter testing</t>
    </r>
  </si>
  <si>
    <r>
      <rPr>
        <rFont val="Arial MT"/>
        <color rgb="FF2D2D2D"/>
        <sz val="8.0"/>
      </rPr>
      <t xml:space="preserve">202511192005073
</t>
    </r>
    <r>
      <rPr>
        <rFont val="Arial MT"/>
        <color rgb="FF2D2D2D"/>
        <sz val="8.0"/>
      </rPr>
      <t>93218</t>
    </r>
  </si>
  <si>
    <r>
      <rPr>
        <rFont val="Arial MT"/>
        <color rgb="FF2D2D2D"/>
        <sz val="8.0"/>
      </rPr>
      <t xml:space="preserve">PCA:5301:470000087025329
</t>
    </r>
    <r>
      <rPr>
        <rFont val="Arial MT"/>
        <color rgb="FF2D2D2D"/>
        <sz val="8.0"/>
      </rPr>
      <t>:IND*LinkedIn           MUMBAI IND19-NOV-25 20:05:08</t>
    </r>
  </si>
  <si>
    <r>
      <rPr>
        <rFont val="Arial MT"/>
        <color rgb="FF2D2D2D"/>
        <sz val="8.0"/>
      </rPr>
      <t xml:space="preserve">202511201232124
</t>
    </r>
    <r>
      <rPr>
        <rFont val="Arial MT"/>
        <color rgb="FF2D2D2D"/>
        <sz val="8.0"/>
      </rPr>
      <t>36200</t>
    </r>
  </si>
  <si>
    <r>
      <rPr>
        <rFont val="Arial MT"/>
        <color rgb="FF2D2D2D"/>
        <sz val="8.0"/>
      </rPr>
      <t xml:space="preserve">PCA:5301:470000087032192
</t>
    </r>
    <r>
      <rPr>
        <rFont val="Arial MT"/>
        <color rgb="FF2D2D2D"/>
        <sz val="8.0"/>
      </rPr>
      <t>:IND*VistaPrint         MUMBAI IND20-NOV-25 12:32:13</t>
    </r>
  </si>
  <si>
    <t>Vistaprint</t>
  </si>
  <si>
    <r>
      <rPr>
        <rFont val="Arial MT"/>
        <color rgb="FF2D2D2D"/>
        <sz val="8.0"/>
      </rPr>
      <t>REFUND:251119:IND*LI NKEDIN\E 510 CRYSTAL</t>
    </r>
  </si>
  <si>
    <r>
      <rPr>
        <rFont val="Arial MT"/>
        <color rgb="FF2D2D2D"/>
        <sz val="8.0"/>
      </rPr>
      <t>REFUND:251119:IND*LI NKEDIN\E 510 CRYSTAL</t>
    </r>
  </si>
  <si>
    <r>
      <rPr>
        <rFont val="Arial MT"/>
        <color rgb="FF2D2D2D"/>
        <sz val="8.0"/>
      </rPr>
      <t>YESI3532500165 0500</t>
    </r>
  </si>
  <si>
    <r>
      <rPr>
        <rFont val="Arial MT"/>
        <color rgb="FF2D2D2D"/>
        <sz val="8.0"/>
      </rPr>
      <t xml:space="preserve">IMPS/NA/XXXX4015/RR N:532571730458/603312 76016169549559/ICICI B ANK LIMITED/J P ENTER
</t>
    </r>
    <r>
      <rPr>
        <rFont val="Arial MT"/>
        <color rgb="FF2D2D2D"/>
        <sz val="8.0"/>
      </rPr>
      <t>PRISES/3KW tata system</t>
    </r>
  </si>
  <si>
    <r>
      <rPr>
        <rFont val="Arial MT"/>
        <color rgb="FF2D2D2D"/>
        <sz val="8.0"/>
      </rPr>
      <t>REVYBP53253647</t>
    </r>
  </si>
  <si>
    <r>
      <rPr>
        <rFont val="Arial MT"/>
        <color rgb="FF2D2D2D"/>
        <sz val="8.0"/>
      </rPr>
      <t>IMPS/NA/XXX4015/REV/R</t>
    </r>
  </si>
  <si>
    <r>
      <rPr>
        <rFont val="Arial MT"/>
        <color rgb="FF2D2D2D"/>
        <sz val="8.0"/>
      </rPr>
      <t>RN:532571730458/60331</t>
    </r>
  </si>
  <si>
    <r>
      <rPr>
        <rFont val="Arial MT"/>
        <color rgb="FF2D2D2D"/>
        <sz val="8.0"/>
      </rPr>
      <t>276016169549559/ICICI B</t>
    </r>
  </si>
  <si>
    <r>
      <rPr>
        <rFont val="Arial MT"/>
        <color rgb="FF2D2D2D"/>
        <sz val="8.0"/>
      </rPr>
      <t>ANK LIMITED/J P ENTER</t>
    </r>
  </si>
  <si>
    <r>
      <rPr>
        <rFont val="Arial MT"/>
        <color rgb="FF2D2D2D"/>
        <sz val="8.0"/>
      </rPr>
      <t>PRISES/3KW tata system</t>
    </r>
  </si>
  <si>
    <r>
      <rPr>
        <rFont val="Arial MT"/>
        <color rgb="FF2D2D2D"/>
        <sz val="8.0"/>
      </rPr>
      <t>YESI3532500168</t>
    </r>
  </si>
  <si>
    <r>
      <rPr>
        <rFont val="Arial MT"/>
        <color rgb="FF2D2D2D"/>
        <sz val="8.0"/>
      </rPr>
      <t>IMPS/NA/XXXX4015/RRN</t>
    </r>
  </si>
  <si>
    <r>
      <rPr>
        <rFont val="Arial MT"/>
        <color rgb="FF2D2D2D"/>
        <sz val="8.0"/>
      </rPr>
      <t>:532571735449/6030864</t>
    </r>
  </si>
  <si>
    <r>
      <rPr>
        <rFont val="Arial MT"/>
        <color rgb="FF2D2D2D"/>
        <sz val="8.0"/>
      </rPr>
      <t>6962547407400/ICICI BA</t>
    </r>
  </si>
  <si>
    <r>
      <rPr>
        <rFont val="Arial MT"/>
        <color rgb="FF2D2D2D"/>
        <sz val="8.0"/>
      </rPr>
      <t>NK LIMITED/J P ENTERP</t>
    </r>
  </si>
  <si>
    <r>
      <rPr>
        <rFont val="Arial MT"/>
        <color rgb="FF2D2D2D"/>
        <sz val="8.0"/>
      </rPr>
      <t>RISES/3KW Tata system</t>
    </r>
  </si>
  <si>
    <r>
      <rPr>
        <rFont val="Arial MT"/>
        <color rgb="FF2D2D2D"/>
        <sz val="8.0"/>
      </rPr>
      <t>REVYBP53253647</t>
    </r>
  </si>
  <si>
    <r>
      <rPr>
        <rFont val="Arial MT"/>
        <color rgb="FF2D2D2D"/>
        <sz val="8.0"/>
      </rPr>
      <t>IMPS/NA/XXX4015/REV/R</t>
    </r>
  </si>
  <si>
    <r>
      <rPr>
        <rFont val="Arial MT"/>
        <color rgb="FF2D2D2D"/>
        <sz val="8.0"/>
      </rPr>
      <t>RN:532571735449/60308</t>
    </r>
  </si>
  <si>
    <r>
      <rPr>
        <rFont val="Arial MT"/>
        <color rgb="FF2D2D2D"/>
        <sz val="8.0"/>
      </rPr>
      <t>646962547407400/ICICI B</t>
    </r>
  </si>
  <si>
    <r>
      <rPr>
        <rFont val="Arial MT"/>
        <color rgb="FF2D2D2D"/>
        <sz val="8.0"/>
      </rPr>
      <t>ANK LIMITED/J P ENTER</t>
    </r>
  </si>
  <si>
    <r>
      <rPr>
        <rFont val="Arial MT"/>
        <color rgb="FF2D2D2D"/>
        <sz val="8.0"/>
      </rPr>
      <t>PRISES/3KW Tata system</t>
    </r>
  </si>
  <si>
    <r>
      <rPr>
        <rFont val="Arial MT"/>
        <color rgb="FF2D2D2D"/>
        <sz val="8.0"/>
      </rPr>
      <t>YESI3532500259</t>
    </r>
  </si>
  <si>
    <r>
      <rPr>
        <rFont val="Arial MT"/>
        <color rgb="FF2D2D2D"/>
        <sz val="8.0"/>
      </rPr>
      <t>IMPS/NA/XXXX4015/RRN:</t>
    </r>
  </si>
  <si>
    <r>
      <rPr>
        <rFont val="Arial MT"/>
        <color rgb="FF2D2D2D"/>
        <sz val="8.0"/>
      </rPr>
      <t>532571786558/PA1160118</t>
    </r>
  </si>
  <si>
    <r>
      <rPr>
        <rFont val="Arial MT"/>
        <color rgb="FF2D2D2D"/>
        <sz val="8.0"/>
      </rPr>
      <t>5783346688/ICICI BANK LI</t>
    </r>
  </si>
  <si>
    <r>
      <rPr>
        <rFont val="Arial MT"/>
        <color rgb="FF2D2D2D"/>
        <sz val="8.0"/>
      </rPr>
      <t>MITED/J P ENTERPRISES</t>
    </r>
  </si>
  <si>
    <r>
      <rPr>
        <rFont val="Arial MT"/>
        <color rgb="FF2D2D2D"/>
        <sz val="8.0"/>
      </rPr>
      <t>/Partial Payment 3KW tata</t>
    </r>
  </si>
  <si>
    <r>
      <rPr>
        <rFont val="Arial MT"/>
        <color rgb="FF2D2D2D"/>
        <sz val="8.0"/>
      </rPr>
      <t>REVYBP53253648</t>
    </r>
  </si>
  <si>
    <r>
      <rPr>
        <rFont val="Arial MT"/>
        <color rgb="FF2D2D2D"/>
        <sz val="8.0"/>
      </rPr>
      <t>IMPS/NA/XXX4015/REV/RR</t>
    </r>
  </si>
  <si>
    <r>
      <rPr>
        <rFont val="Arial MT"/>
        <color rgb="FF2D2D2D"/>
        <sz val="8.0"/>
      </rPr>
      <t>N:532571786558/PA11601</t>
    </r>
  </si>
  <si>
    <r>
      <rPr>
        <rFont val="Arial MT"/>
        <color rgb="FF2D2D2D"/>
        <sz val="8.0"/>
      </rPr>
      <t>185783346688/ICICI BANK</t>
    </r>
  </si>
  <si>
    <r>
      <rPr>
        <rFont val="Arial MT"/>
        <color rgb="FF2D2D2D"/>
        <sz val="8.0"/>
      </rPr>
      <t>LIMITED/J P ENTERPRISE</t>
    </r>
  </si>
  <si>
    <r>
      <rPr>
        <rFont val="Arial MT"/>
        <color rgb="FF2D2D2D"/>
        <sz val="8.0"/>
      </rPr>
      <t>S/Partial Payment 3KW tata</t>
    </r>
  </si>
  <si>
    <r>
      <rPr>
        <rFont val="Arial MT"/>
        <color rgb="FF2D2D2D"/>
        <sz val="8.0"/>
      </rPr>
      <t>YESI3532500348</t>
    </r>
  </si>
  <si>
    <r>
      <rPr>
        <rFont val="Arial MT"/>
        <color rgb="FF2D2D2D"/>
        <sz val="8.0"/>
      </rPr>
      <t>IMPS/NA/XXXX9542/RRN</t>
    </r>
  </si>
  <si>
    <t>Dangechowk 3KW SPV</t>
  </si>
  <si>
    <r>
      <rPr>
        <rFont val="Arial MT"/>
        <color rgb="FF2D2D2D"/>
        <sz val="8.0"/>
      </rPr>
      <t>:532571819069/11593602</t>
    </r>
  </si>
  <si>
    <r>
      <rPr>
        <rFont val="Arial MT"/>
        <color rgb="FF2D2D2D"/>
        <sz val="8.0"/>
      </rPr>
      <t>341557108117/KOTAK M</t>
    </r>
  </si>
  <si>
    <r>
      <rPr>
        <rFont val="Arial MT"/>
        <color rgb="FF2D2D2D"/>
        <sz val="8.0"/>
      </rPr>
      <t>AHINDRA BANK LIMITED</t>
    </r>
  </si>
  <si>
    <r>
      <rPr>
        <rFont val="Arial MT"/>
        <color rgb="FF2D2D2D"/>
        <sz val="8.0"/>
      </rPr>
      <t>/AVANISH DEVENDRA D</t>
    </r>
  </si>
  <si>
    <r>
      <rPr>
        <rFont val="Arial MT"/>
        <color rgb="FF2D2D2D"/>
        <sz val="8.0"/>
      </rPr>
      <t>ESHMUKH SONAL DEV/3</t>
    </r>
  </si>
  <si>
    <r>
      <rPr>
        <rFont val="Arial MT"/>
        <color rgb="FF2D2D2D"/>
        <sz val="8.0"/>
      </rPr>
      <t>YESI3532500383</t>
    </r>
  </si>
  <si>
    <r>
      <rPr>
        <rFont val="Arial MT"/>
        <color rgb="FF2D2D2D"/>
        <sz val="8.0"/>
      </rPr>
      <t>IMPS/NA/XXXX1343/RRN</t>
    </r>
  </si>
  <si>
    <t>PARK 59 MSEB VISIT</t>
  </si>
  <si>
    <r>
      <rPr>
        <rFont val="Arial MT"/>
        <color rgb="FF2D2D2D"/>
        <sz val="8.0"/>
      </rPr>
      <t>:532571834540/60400453</t>
    </r>
  </si>
  <si>
    <r>
      <rPr>
        <rFont val="Arial MT"/>
        <color rgb="FF2D2D2D"/>
        <sz val="8.0"/>
      </rPr>
      <t>788568082185/KOTAK MA</t>
    </r>
  </si>
  <si>
    <r>
      <rPr>
        <rFont val="Arial MT"/>
        <color rgb="FF2D2D2D"/>
        <sz val="8.0"/>
      </rPr>
      <t>HINDRA BANK LIMITED/T</t>
    </r>
  </si>
  <si>
    <r>
      <rPr>
        <rFont val="Arial MT"/>
        <color rgb="FF2D2D2D"/>
        <sz val="8.0"/>
      </rPr>
      <t>ushar Mane/Park59 MSEB</t>
    </r>
  </si>
  <si>
    <r>
      <rPr>
        <rFont val="Arial MT"/>
        <color rgb="FF2D2D2D"/>
        <sz val="8.0"/>
      </rPr>
      <t>YBS5325909583</t>
    </r>
  </si>
  <si>
    <r>
      <rPr>
        <rFont val="Arial MT"/>
        <color rgb="FF2D2D2D"/>
        <sz val="8.0"/>
      </rPr>
      <t>UPI/142746047606/From:9</t>
    </r>
  </si>
  <si>
    <t>TRIAL</t>
  </si>
  <si>
    <r>
      <rPr>
        <rFont val="Arial MT"/>
        <color rgb="FF2D2D2D"/>
        <sz val="8.0"/>
      </rPr>
      <t>890106937@upi/To:04126</t>
    </r>
  </si>
  <si>
    <r>
      <rPr>
        <rFont val="Arial MT"/>
        <color rgb="FF2D2D2D"/>
        <sz val="8.0"/>
      </rPr>
      <t>3400006460@YESB00004</t>
    </r>
  </si>
  <si>
    <r>
      <rPr>
        <rFont val="Arial MT"/>
        <color rgb="FF2D2D2D"/>
        <sz val="8.0"/>
      </rPr>
      <t>12.ifsc.npci/NO REMARKS</t>
    </r>
  </si>
  <si>
    <r>
      <rPr>
        <rFont val="Arial MT"/>
        <color rgb="FF2D2D2D"/>
        <sz val="8.0"/>
      </rPr>
      <t>YBS5325909819</t>
    </r>
  </si>
  <si>
    <r>
      <rPr>
        <rFont val="Arial MT"/>
        <color rgb="FF2D2D2D"/>
        <sz val="8.0"/>
      </rPr>
      <t>UPI/150007989377/From:9</t>
    </r>
  </si>
  <si>
    <t>Dangechowk advance</t>
  </si>
  <si>
    <r>
      <rPr>
        <rFont val="Arial MT"/>
        <color rgb="FF2D2D2D"/>
        <sz val="8.0"/>
      </rPr>
      <t>890106937@upi/To:04126</t>
    </r>
  </si>
  <si>
    <r>
      <rPr>
        <rFont val="Arial MT"/>
        <color rgb="FF2D2D2D"/>
        <sz val="8.0"/>
      </rPr>
      <t>3400006460@YESB00004</t>
    </r>
  </si>
  <si>
    <r>
      <rPr>
        <rFont val="Arial MT"/>
        <color rgb="FF2D2D2D"/>
        <sz val="8.0"/>
      </rPr>
      <t>12.ifsc.npci/NO REMARKS</t>
    </r>
  </si>
  <si>
    <r>
      <rPr>
        <rFont val="Arial MT"/>
        <color rgb="FF2D2D2D"/>
        <sz val="8.0"/>
      </rPr>
      <t>YESI3532501023 7600</t>
    </r>
  </si>
  <si>
    <r>
      <rPr>
        <rFont val="Arial MT"/>
        <color rgb="FF2D2D2D"/>
        <sz val="8.0"/>
      </rPr>
      <t xml:space="preserve">IMPS/NA/XXXX1832/RRN:53 2572129902/6074075745317
</t>
    </r>
    <r>
      <rPr>
        <rFont val="Arial MT"/>
        <color rgb="FF2D2D2D"/>
        <sz val="8.0"/>
      </rPr>
      <t>5783239/HDFC BANK/ARAVI ND KUMAR TANTI/MOBTXN</t>
    </r>
  </si>
  <si>
    <t>JPT Fees</t>
  </si>
  <si>
    <r>
      <rPr>
        <rFont val="Arial MT"/>
        <color rgb="FF2D2D2D"/>
        <sz val="8.0"/>
      </rPr>
      <t>YESI3532600489 1900</t>
    </r>
  </si>
  <si>
    <r>
      <rPr>
        <rFont val="Arial MT"/>
        <color rgb="FF2D2D2D"/>
        <sz val="8.0"/>
      </rPr>
      <t xml:space="preserve">IMPS/NA/XXXX1031/RRN:5 32672403661/61343689510
</t>
    </r>
    <r>
      <rPr>
        <rFont val="Arial MT"/>
        <color rgb="FF2D2D2D"/>
        <sz val="8.0"/>
      </rPr>
      <t xml:space="preserve">560883265/KOTAK MAHIN DRA BANK LIMITED/Yoges
</t>
    </r>
    <r>
      <rPr>
        <rFont val="Arial MT"/>
        <color rgb="FF2D2D2D"/>
        <sz val="8.0"/>
      </rPr>
      <t>h Vasant Sathe/Overheads</t>
    </r>
  </si>
  <si>
    <t>Tingrenagar electrical work</t>
  </si>
  <si>
    <r>
      <rPr>
        <rFont val="Arial MT"/>
        <color rgb="FF2D2D2D"/>
        <sz val="8.0"/>
      </rPr>
      <t>REFUND:251121:IND*LI NKEDIN\E 510 CRYSTAL</t>
    </r>
  </si>
  <si>
    <r>
      <rPr>
        <rFont val="Arial MT"/>
        <color rgb="FF2D2D2D"/>
        <sz val="8.0"/>
      </rPr>
      <t>YBS5334985925 424</t>
    </r>
  </si>
  <si>
    <r>
      <rPr>
        <rFont val="Arial MT"/>
        <color rgb="FF2D2D2D"/>
        <sz val="8.0"/>
      </rPr>
      <t xml:space="preserve">UPI/570070304701/From:s
</t>
    </r>
    <r>
      <rPr>
        <rFont val="Arial MT"/>
        <color rgb="FF2D2D2D"/>
        <sz val="8.0"/>
      </rPr>
      <t xml:space="preserve">dpotey-1@okicici/To:0412 63400006460@yesb0000
</t>
    </r>
    <r>
      <rPr>
        <rFont val="Arial MT"/>
        <color rgb="FF2D2D2D"/>
        <sz val="8.0"/>
      </rPr>
      <t>412.ifsc.npci/Potey Sanjay</t>
    </r>
  </si>
  <si>
    <t>Spine road 3 kw w 5kwinv</t>
  </si>
  <si>
    <t>YBS5334985935
075</t>
  </si>
  <si>
    <t>UPI/570057802843/From:s
dpotey-1@okicici/To:0412
63400006460@yesb0000
412.ifsc.npci/Potey Sanjay</t>
  </si>
  <si>
    <r>
      <rPr>
        <rFont val="Arial MT"/>
        <color rgb="FF2D2D2D"/>
        <sz val="8.0"/>
      </rPr>
      <t>YES0N533558608</t>
    </r>
  </si>
  <si>
    <r>
      <rPr>
        <rFont val="Arial MT"/>
        <color rgb="FF2D2D2D"/>
        <sz val="8.0"/>
      </rPr>
      <t>NEFT Cr-MAHB000192</t>
    </r>
  </si>
  <si>
    <t xml:space="preserve">Loni Kalbhor Bhutada First </t>
  </si>
  <si>
    <r>
      <rPr>
        <rFont val="Arial MT"/>
        <color rgb="FF2D2D2D"/>
        <sz val="8.0"/>
      </rPr>
      <t>2-SHREE GANESH EN</t>
    </r>
  </si>
  <si>
    <r>
      <rPr>
        <rFont val="Arial MT"/>
        <color rgb="FF2D2D2D"/>
        <sz val="8.0"/>
      </rPr>
      <t>TERPRISES-ROLLING</t>
    </r>
  </si>
  <si>
    <r>
      <rPr>
        <rFont val="Arial MT"/>
        <color rgb="FF2D2D2D"/>
        <sz val="8.0"/>
      </rPr>
      <t>ENERGYCOPCPRIVAT</t>
    </r>
  </si>
  <si>
    <r>
      <rPr>
        <rFont val="Arial MT"/>
        <color rgb="FF2D2D2D"/>
        <sz val="8.0"/>
      </rPr>
      <t>E-MAHBH00132740846</t>
    </r>
  </si>
  <si>
    <r>
      <rPr>
        <rFont val="Arial MT"/>
        <color rgb="FF2D2D2D"/>
        <sz val="8.0"/>
      </rPr>
      <t>YESI6533600198</t>
    </r>
  </si>
  <si>
    <r>
      <rPr>
        <rFont val="Arial MT"/>
        <color rgb="FF2D2D2D"/>
        <sz val="8.0"/>
      </rPr>
      <t>IMPS/NA/XXXX1343/RR</t>
    </r>
  </si>
  <si>
    <t>Dangechowk Overheads</t>
  </si>
  <si>
    <r>
      <rPr>
        <rFont val="Arial MT"/>
        <color rgb="FF2D2D2D"/>
        <sz val="8.0"/>
      </rPr>
      <t>N:533678128700/PC219</t>
    </r>
  </si>
  <si>
    <r>
      <rPr>
        <rFont val="Arial MT"/>
        <color rgb="FF2D2D2D"/>
        <sz val="8.0"/>
      </rPr>
      <t>241220527764/KOTAK M</t>
    </r>
  </si>
  <si>
    <r>
      <rPr>
        <rFont val="Arial MT"/>
        <color rgb="FF2D2D2D"/>
        <sz val="8.0"/>
      </rPr>
      <t>AHINDRA BANK LIMITE</t>
    </r>
  </si>
  <si>
    <r>
      <rPr>
        <rFont val="Arial MT"/>
        <color rgb="FF2D2D2D"/>
        <sz val="8.0"/>
      </rPr>
      <t>D/Tushar Popatrao Man</t>
    </r>
  </si>
  <si>
    <r>
      <rPr>
        <rFont val="Arial MT"/>
        <color rgb="FF2D2D2D"/>
        <sz val="8.0"/>
      </rPr>
      <t>e/Overheads dangechow</t>
    </r>
  </si>
  <si>
    <r>
      <rPr>
        <rFont val="Arial MT"/>
        <color rgb="FF2D2D2D"/>
        <sz val="8.0"/>
      </rPr>
      <t>YESI6533700287 3000</t>
    </r>
  </si>
  <si>
    <r>
      <rPr>
        <rFont val="Arial MT"/>
        <color rgb="FF2D2D2D"/>
        <sz val="8.0"/>
      </rPr>
      <t xml:space="preserve">IMPS/NA/XXXX3440/RRN
</t>
    </r>
    <r>
      <rPr>
        <rFont val="Arial MT"/>
        <color rgb="FF2D2D2D"/>
        <sz val="8.0"/>
      </rPr>
      <t xml:space="preserve">:533778743708/PC22005 63200328586/STATE BAN
</t>
    </r>
    <r>
      <rPr>
        <rFont val="Arial MT"/>
        <color rgb="FF2D2D2D"/>
        <sz val="8.0"/>
      </rPr>
      <t>K OF INDIA/Keshav M Kho pade/Tingrenagar balance</t>
    </r>
  </si>
  <si>
    <t>Tingrenagar Fabrication final payment</t>
  </si>
  <si>
    <r>
      <rPr>
        <rFont val="Arial MT"/>
        <color rgb="FF2D2D2D"/>
        <sz val="8.0"/>
      </rPr>
      <t>YESI6533700264 2800</t>
    </r>
  </si>
  <si>
    <r>
      <rPr>
        <rFont val="Arial MT"/>
        <color rgb="FF2D2D2D"/>
        <sz val="8.0"/>
      </rPr>
      <t xml:space="preserve">IMPS/NA/XXXX3440/RRN
</t>
    </r>
    <r>
      <rPr>
        <rFont val="Arial MT"/>
        <color rgb="FF2D2D2D"/>
        <sz val="8.0"/>
      </rPr>
      <t xml:space="preserve">:533778744065/PC22005 70165491158/STATE BAN
</t>
    </r>
    <r>
      <rPr>
        <rFont val="Arial MT"/>
        <color rgb="FF2D2D2D"/>
        <sz val="8.0"/>
      </rPr>
      <t>K OF INDIA/Keshav M Kh opade/Shantiban extra fab</t>
    </r>
  </si>
  <si>
    <t>Amol Pande extra fabrication material</t>
  </si>
  <si>
    <r>
      <rPr>
        <rFont val="Arial MT"/>
        <color rgb="FF2D2D2D"/>
        <sz val="8.0"/>
      </rPr>
      <t>CHQ DEP CAN 03-DEC-2 5 PUNE  VIMAN NAGAR</t>
    </r>
  </si>
  <si>
    <t>Kalwad church first Payment</t>
  </si>
  <si>
    <r>
      <rPr>
        <rFont val="Arial MT"/>
        <color rgb="FF2D2D2D"/>
        <sz val="8.0"/>
      </rPr>
      <t>YESI6533700915 4000</t>
    </r>
  </si>
  <si>
    <r>
      <rPr>
        <rFont val="Arial MT"/>
        <color rgb="FF2D2D2D"/>
        <sz val="8.0"/>
      </rPr>
      <t xml:space="preserve">IMPS/NA/XXXX8029/RRN:5 33778989095/PC22047321
</t>
    </r>
    <r>
      <rPr>
        <rFont val="Arial MT"/>
        <color rgb="FF2D2D2D"/>
        <sz val="8.0"/>
      </rPr>
      <t xml:space="preserve">05280060/AU SMALL FINA NCE BANK LIMITED/Ojas J
</t>
    </r>
    <r>
      <rPr>
        <rFont val="Arial MT"/>
        <color rgb="FF2D2D2D"/>
        <sz val="8.0"/>
      </rPr>
      <t>aynath Phalke/5KWx2 Tata</t>
    </r>
  </si>
  <si>
    <t xml:space="preserve">Wakad choudharynagar and chinchwad 5kw tata </t>
  </si>
  <si>
    <r>
      <rPr>
        <rFont val="Arial MT"/>
        <color rgb="FF2D2D2D"/>
        <sz val="8.0"/>
      </rPr>
      <t>YESI6533800371</t>
    </r>
  </si>
  <si>
    <r>
      <rPr>
        <rFont val="Arial MT"/>
        <color rgb="FF2D2D2D"/>
        <sz val="8.0"/>
      </rPr>
      <t>IMPS/NA/XXXX1343/RRN</t>
    </r>
  </si>
  <si>
    <t>TM salary</t>
  </si>
  <si>
    <r>
      <rPr>
        <rFont val="Arial MT"/>
        <color rgb="FF2D2D2D"/>
        <sz val="8.0"/>
      </rPr>
      <t>:533879331662/PC220858</t>
    </r>
  </si>
  <si>
    <r>
      <rPr>
        <rFont val="Arial MT"/>
        <color rgb="FF2D2D2D"/>
        <sz val="8.0"/>
      </rPr>
      <t>9155794520/KOTAK MAH</t>
    </r>
  </si>
  <si>
    <r>
      <rPr>
        <rFont val="Arial MT"/>
        <color rgb="FF2D2D2D"/>
        <sz val="8.0"/>
      </rPr>
      <t>INDRA BANK LIMITED/Tu</t>
    </r>
  </si>
  <si>
    <r>
      <rPr>
        <rFont val="Arial MT"/>
        <color rgb="FF2D2D2D"/>
        <sz val="8.0"/>
      </rPr>
      <t>shar Popatrao Mane/salary</t>
    </r>
  </si>
  <si>
    <r>
      <rPr>
        <rFont val="Arial MT"/>
        <color rgb="FF2D2D2D"/>
        <sz val="8.0"/>
      </rPr>
      <t>YESI6533800406</t>
    </r>
  </si>
  <si>
    <r>
      <rPr>
        <rFont val="Arial MT"/>
        <color rgb="FF2D2D2D"/>
        <sz val="8.0"/>
      </rPr>
      <t>IMPS/NA/XXXX1343/RRN:</t>
    </r>
  </si>
  <si>
    <r>
      <rPr>
        <rFont val="Arial MT"/>
        <color rgb="FF2D2D2D"/>
        <sz val="8.0"/>
      </rPr>
      <t>533879342317/PC2208783</t>
    </r>
  </si>
  <si>
    <r>
      <rPr>
        <rFont val="Arial MT"/>
        <color rgb="FF2D2D2D"/>
        <sz val="8.0"/>
      </rPr>
      <t>178698628/KOTAK MAHIN</t>
    </r>
  </si>
  <si>
    <r>
      <rPr>
        <rFont val="Arial MT"/>
        <color rgb="FF2D2D2D"/>
        <sz val="8.0"/>
      </rPr>
      <t>DRA BANK LIMITED/Tusha</t>
    </r>
  </si>
  <si>
    <r>
      <rPr>
        <rFont val="Arial MT"/>
        <color rgb="FF2D2D2D"/>
        <sz val="8.0"/>
      </rPr>
      <t>r Popatrao Mane/SC Salary</t>
    </r>
  </si>
  <si>
    <r>
      <rPr>
        <rFont val="Arial MT"/>
        <color rgb="FF2D2D2D"/>
        <sz val="8.0"/>
      </rPr>
      <t>YES0N533887856</t>
    </r>
  </si>
  <si>
    <r>
      <rPr>
        <rFont val="Arial MT"/>
        <color rgb="FF2D2D2D"/>
        <sz val="8.0"/>
      </rPr>
      <t>NEFT Cr-PUNB0520410-RT</t>
    </r>
  </si>
  <si>
    <t>Baramati Subsidy</t>
  </si>
  <si>
    <r>
      <rPr>
        <rFont val="Arial MT"/>
        <color rgb="FF2D2D2D"/>
        <sz val="8.0"/>
      </rPr>
      <t>GS  INTERBANK ACCOUN</t>
    </r>
  </si>
  <si>
    <r>
      <rPr>
        <rFont val="Arial MT"/>
        <color rgb="FF2D2D2D"/>
        <sz val="8.0"/>
      </rPr>
      <t>T-ROLLING ENERGY PVT</t>
    </r>
  </si>
  <si>
    <r>
      <rPr>
        <rFont val="Arial MT"/>
        <color rgb="FF2D2D2D"/>
        <sz val="8.0"/>
      </rPr>
      <t>LTD-PUNBH70044670989</t>
    </r>
  </si>
  <si>
    <r>
      <rPr>
        <rFont val="Arial MT"/>
        <color rgb="FF2D2D2D"/>
        <sz val="8.0"/>
      </rPr>
      <t>YESI6533800979 8000</t>
    </r>
  </si>
  <si>
    <r>
      <rPr>
        <rFont val="Arial MT"/>
        <color rgb="FF2D2D2D"/>
        <sz val="8.0"/>
      </rPr>
      <t xml:space="preserve">IMPS/NA/XXXX8029/RRN
</t>
    </r>
    <r>
      <rPr>
        <rFont val="Arial MT"/>
        <color rgb="FF2D2D2D"/>
        <sz val="8.0"/>
      </rPr>
      <t xml:space="preserve">:533879532455/PC22113 80230759530/AU SMALL FINANCE BANK LIMITED
</t>
    </r>
    <r>
      <rPr>
        <rFont val="Arial MT"/>
        <color rgb="FF2D2D2D"/>
        <sz val="8.0"/>
      </rPr>
      <t>/Ojas Jaynath Phalke/UTL</t>
    </r>
  </si>
  <si>
    <t>UTL Kalwad church site Hybrid inverter and 100AH battery 1.5KW ndcr panel</t>
  </si>
  <si>
    <r>
      <rPr>
        <rFont val="Arial MT"/>
        <color rgb="FF2D2D2D"/>
        <sz val="8.0"/>
      </rPr>
      <t>YESI6533900646 1600</t>
    </r>
  </si>
  <si>
    <r>
      <rPr>
        <rFont val="Arial MT"/>
        <color rgb="FF2D2D2D"/>
        <sz val="8.0"/>
      </rPr>
      <t xml:space="preserve">IMPS/NA/XXXX1343/RRN:5 33979981781/PC221677813
</t>
    </r>
    <r>
      <rPr>
        <rFont val="Arial MT"/>
        <color rgb="FF2D2D2D"/>
        <sz val="8.0"/>
      </rPr>
      <t>4825427/KOTAK MAHINDR A BANK LIMITED/Tushar P opatrao Mane/SC Allowance</t>
    </r>
  </si>
  <si>
    <t>SC transportation</t>
  </si>
  <si>
    <r>
      <rPr>
        <rFont val="Arial MT"/>
        <color rgb="FF2D2D2D"/>
        <sz val="8.0"/>
      </rPr>
      <t>CHQ DEP BANK 06-DEC- 25 PUNE  VIMAN NAGAR</t>
    </r>
  </si>
  <si>
    <t>Site credit kangude</t>
  </si>
  <si>
    <r>
      <rPr>
        <rFont val="Arial MT"/>
        <color rgb="FF2D2D2D"/>
        <sz val="8.0"/>
      </rPr>
      <t>YESI6534100238 5900</t>
    </r>
  </si>
  <si>
    <r>
      <rPr>
        <rFont val="Arial MT"/>
        <color rgb="FF2D2D2D"/>
        <sz val="8.0"/>
      </rPr>
      <t xml:space="preserve">IMPS/NA/XXXX1343/RRN:5 34180990936/PC22319605
</t>
    </r>
    <r>
      <rPr>
        <rFont val="Arial MT"/>
        <color rgb="FF2D2D2D"/>
        <sz val="8.0"/>
      </rPr>
      <t>8288939/KOTAK MAHINDR A BANK LIMITED/Tushar P opatrao Mane/reimbursment</t>
    </r>
  </si>
  <si>
    <r>
      <rPr>
        <rFont val="Arial MT"/>
        <color rgb="FF2D2D2D"/>
        <sz val="8.0"/>
      </rPr>
      <t>YESI6534100661</t>
    </r>
  </si>
  <si>
    <r>
      <rPr>
        <rFont val="Arial MT"/>
        <color rgb="FF2D2D2D"/>
        <sz val="8.0"/>
      </rPr>
      <t>IMPS/NA/XXXX8029/RRN</t>
    </r>
  </si>
  <si>
    <t>Booth kisan</t>
  </si>
  <si>
    <r>
      <rPr>
        <rFont val="Arial MT"/>
        <color rgb="FF2D2D2D"/>
        <sz val="8.0"/>
      </rPr>
      <t>:534181216613/PC22340</t>
    </r>
  </si>
  <si>
    <r>
      <rPr>
        <rFont val="Arial MT"/>
        <color rgb="FF2D2D2D"/>
        <sz val="8.0"/>
      </rPr>
      <t>5390908543/AU SMALL</t>
    </r>
  </si>
  <si>
    <r>
      <rPr>
        <rFont val="Arial MT"/>
        <color rgb="FF2D2D2D"/>
        <sz val="8.0"/>
      </rPr>
      <t>FINANCE BANK LIMITED</t>
    </r>
  </si>
  <si>
    <r>
      <rPr>
        <rFont val="Arial MT"/>
        <color rgb="FF2D2D2D"/>
        <sz val="8.0"/>
      </rPr>
      <t>/Ojas Jaynath Phalke/IFB</t>
    </r>
  </si>
  <si>
    <r>
      <rPr>
        <rFont val="Arial MT"/>
        <color rgb="FF2D2D2D"/>
        <sz val="8.0"/>
      </rPr>
      <t>YESI6534100699</t>
    </r>
  </si>
  <si>
    <r>
      <rPr>
        <rFont val="Arial MT"/>
        <color rgb="FF2D2D2D"/>
        <sz val="8.0"/>
      </rPr>
      <t>IMPS/NA/XXXX6122/RRN</t>
    </r>
  </si>
  <si>
    <t>Solar planes</t>
  </si>
  <si>
    <r>
      <rPr>
        <rFont val="Arial MT"/>
        <color rgb="FF2D2D2D"/>
        <sz val="8.0"/>
      </rPr>
      <t>:534181233391/PC22341</t>
    </r>
  </si>
  <si>
    <r>
      <rPr>
        <rFont val="Arial MT"/>
        <color rgb="FF2D2D2D"/>
        <sz val="8.0"/>
      </rPr>
      <t>7247218255/KOTAK MAH</t>
    </r>
  </si>
  <si>
    <r>
      <rPr>
        <rFont val="Arial MT"/>
        <color rgb="FF2D2D2D"/>
        <sz val="8.0"/>
      </rPr>
      <t>INDRA BANK LIMITED/Aa</t>
    </r>
  </si>
  <si>
    <r>
      <rPr>
        <rFont val="Arial MT"/>
        <color rgb="FF2D2D2D"/>
        <sz val="8.0"/>
      </rPr>
      <t>shish Kumar/Solar planes</t>
    </r>
  </si>
  <si>
    <r>
      <rPr>
        <rFont val="Arial MT"/>
        <color rgb="FF2D2D2D"/>
        <sz val="8.0"/>
      </rPr>
      <t>PCA:5301:1000000000</t>
    </r>
  </si>
  <si>
    <t>Extra furniture kisan</t>
  </si>
  <si>
    <r>
      <rPr>
        <rFont val="Arial MT"/>
        <color rgb="FF2D2D2D"/>
        <sz val="8.0"/>
      </rPr>
      <t>005oa:RAZ*Kisan Foru</t>
    </r>
  </si>
  <si>
    <r>
      <rPr>
        <rFont val="Arial MT"/>
        <color rgb="FF2D2D2D"/>
        <sz val="8.0"/>
      </rPr>
      <t>m Pvt Lt Shivajinaga   I</t>
    </r>
  </si>
  <si>
    <r>
      <rPr>
        <rFont val="Arial MT"/>
        <color rgb="FF2D2D2D"/>
        <sz val="8.0"/>
      </rPr>
      <t>ND07-DEC-25 22:19:28</t>
    </r>
  </si>
  <si>
    <r>
      <rPr>
        <rFont val="Arial MT"/>
        <color rgb="FF2D2D2D"/>
        <sz val="8.0"/>
      </rPr>
      <t>YESI6534200511</t>
    </r>
  </si>
  <si>
    <r>
      <rPr>
        <rFont val="Arial MT"/>
        <color rgb="FF2D2D2D"/>
        <sz val="8.0"/>
      </rPr>
      <t>IMPS/NA/XXXX1031/RRN</t>
    </r>
  </si>
  <si>
    <t>Electrical work Dangechowk</t>
  </si>
  <si>
    <r>
      <rPr>
        <rFont val="Arial MT"/>
        <color rgb="FF2D2D2D"/>
        <sz val="8.0"/>
      </rPr>
      <t>:534281628235/PC22379</t>
    </r>
  </si>
  <si>
    <r>
      <rPr>
        <rFont val="Arial MT"/>
        <color rgb="FF2D2D2D"/>
        <sz val="8.0"/>
      </rPr>
      <t>85105901835/KOTAK MA</t>
    </r>
  </si>
  <si>
    <r>
      <rPr>
        <rFont val="Arial MT"/>
        <color rgb="FF2D2D2D"/>
        <sz val="8.0"/>
      </rPr>
      <t>HINDRA BANK LIMITED/</t>
    </r>
  </si>
  <si>
    <r>
      <rPr>
        <rFont val="Arial MT"/>
        <color rgb="FF2D2D2D"/>
        <sz val="8.0"/>
      </rPr>
      <t>Yogesh Vasant Sathe/IFB</t>
    </r>
  </si>
  <si>
    <r>
      <rPr>
        <rFont val="Arial MT"/>
        <color rgb="FF2D2D2D"/>
        <sz val="8.0"/>
      </rPr>
      <t>YESI6534200537</t>
    </r>
  </si>
  <si>
    <r>
      <rPr>
        <rFont val="Arial MT"/>
        <color rgb="FF2D2D2D"/>
        <sz val="8.0"/>
      </rPr>
      <t>IMPS/NA/XXXX5951/RR</t>
    </r>
  </si>
  <si>
    <t>Solar basket distributorship</t>
  </si>
  <si>
    <r>
      <rPr>
        <rFont val="Arial MT"/>
        <color rgb="FF2D2D2D"/>
        <sz val="8.0"/>
      </rPr>
      <t>N:534281630282/PC2238</t>
    </r>
  </si>
  <si>
    <r>
      <rPr>
        <rFont val="Arial MT"/>
        <color rgb="FF2D2D2D"/>
        <sz val="8.0"/>
      </rPr>
      <t>016150768596/KOTAK M</t>
    </r>
  </si>
  <si>
    <r>
      <rPr>
        <rFont val="Arial MT"/>
        <color rgb="FF2D2D2D"/>
        <sz val="8.0"/>
      </rPr>
      <t>AHINDRA BANK LIMITE</t>
    </r>
  </si>
  <si>
    <r>
      <rPr>
        <rFont val="Arial MT"/>
        <color rgb="FF2D2D2D"/>
        <sz val="8.0"/>
      </rPr>
      <t>D/THREEDINCISE ENGE</t>
    </r>
  </si>
  <si>
    <t>NEERING PVT LTD/Solar</t>
  </si>
  <si>
    <r>
      <rPr>
        <rFont val="Arial MT"/>
        <color rgb="FF2D2D2D"/>
        <sz val="8.0"/>
      </rPr>
      <t>PCA:5301:1000000000</t>
    </r>
  </si>
  <si>
    <t>Kisan extra port</t>
  </si>
  <si>
    <r>
      <rPr>
        <rFont val="Arial MT"/>
        <color rgb="FF2D2D2D"/>
        <sz val="8.0"/>
      </rPr>
      <t>005oa:RAZ*Kisan Foru</t>
    </r>
  </si>
  <si>
    <r>
      <rPr>
        <rFont val="Arial MT"/>
        <color rgb="FF2D2D2D"/>
        <sz val="8.0"/>
      </rPr>
      <t>m Pvt Lt Shivajinaga   I</t>
    </r>
  </si>
  <si>
    <r>
      <rPr>
        <rFont val="Arial MT"/>
        <color rgb="FF2D2D2D"/>
        <sz val="8.0"/>
      </rPr>
      <t>ND08-DEC-25 13:54:46</t>
    </r>
  </si>
  <si>
    <r>
      <rPr>
        <rFont val="Arial MT"/>
        <color rgb="FF2D2D2D"/>
        <sz val="8.0"/>
      </rPr>
      <t>YESI6534201329 4600</t>
    </r>
  </si>
  <si>
    <r>
      <rPr>
        <rFont val="Arial MT"/>
        <color rgb="FF2D2D2D"/>
        <sz val="8.0"/>
      </rPr>
      <t xml:space="preserve">IMPS/NA/XXXX8029/RRN:5 34281932983/PC224306221
</t>
    </r>
    <r>
      <rPr>
        <rFont val="Arial MT"/>
        <color rgb="FF2D2D2D"/>
        <sz val="8.0"/>
      </rPr>
      <t xml:space="preserve">1969723/AU SMALL FINAN CE BANK LIMITED/Ojas Jay
</t>
    </r>
    <r>
      <rPr>
        <rFont val="Arial MT"/>
        <color rgb="FF2D2D2D"/>
        <sz val="8.0"/>
      </rPr>
      <t>nath Phalke/Advance Booth</t>
    </r>
  </si>
  <si>
    <t>Kisan booth</t>
  </si>
  <si>
    <r>
      <rPr>
        <rFont val="Arial MT"/>
        <color rgb="FF2D2D2D"/>
        <sz val="8.0"/>
      </rPr>
      <t>YESI6534300541 5700</t>
    </r>
  </si>
  <si>
    <r>
      <rPr>
        <rFont val="Arial MT"/>
        <color rgb="FF2D2D2D"/>
        <sz val="8.0"/>
      </rPr>
      <t xml:space="preserve">IMPS/NA/XXXX1135/RRN: 534382185546/PC2246109
</t>
    </r>
    <r>
      <rPr>
        <rFont val="Arial MT"/>
        <color rgb="FF2D2D2D"/>
        <sz val="8.0"/>
      </rPr>
      <t xml:space="preserve">203682984/AXIS BANK/Im
</t>
    </r>
    <r>
      <rPr>
        <rFont val="Arial MT"/>
        <color rgb="FF2D2D2D"/>
        <sz val="8.0"/>
      </rPr>
      <t>pression Graphics/Printing</t>
    </r>
  </si>
  <si>
    <t>Kisan material printing</t>
  </si>
  <si>
    <r>
      <rPr>
        <rFont val="Arial MT"/>
        <color rgb="FF2D2D2D"/>
        <sz val="8.0"/>
      </rPr>
      <t>CHQ DEP CAN 09-DEC-2 5 PUNE  VIMAN NAGAR</t>
    </r>
  </si>
  <si>
    <t>Kalwad church 2nd payment</t>
  </si>
  <si>
    <r>
      <rPr>
        <rFont val="Arial MT"/>
        <color rgb="FF2D2D2D"/>
        <sz val="8.0"/>
      </rPr>
      <t>YBS5348104332 971</t>
    </r>
  </si>
  <si>
    <r>
      <rPr>
        <rFont val="Arial MT"/>
        <color rgb="FF2D2D2D"/>
        <sz val="8.0"/>
      </rPr>
      <t xml:space="preserve">UPI/534809668252/From:s
</t>
    </r>
    <r>
      <rPr>
        <rFont val="Arial MT"/>
        <color rgb="FF2D2D2D"/>
        <sz val="8.0"/>
      </rPr>
      <t>hreyanshupandhare@oksb i/To:9823980211@yes/UPI</t>
    </r>
  </si>
  <si>
    <t>DSP investment</t>
  </si>
  <si>
    <r>
      <rPr>
        <rFont val="Arial MT"/>
        <color rgb="FF2D2D2D"/>
        <sz val="8.0"/>
      </rPr>
      <t>YBP5348381304</t>
    </r>
  </si>
  <si>
    <r>
      <rPr>
        <rFont val="Arial MT"/>
        <color rgb="FF2D2D2D"/>
        <sz val="8.0"/>
      </rPr>
      <t>IMPS/VINODBIBHISHAN</t>
    </r>
  </si>
  <si>
    <t>Barshi site first payment</t>
  </si>
  <si>
    <r>
      <rPr>
        <rFont val="Arial MT"/>
        <color rgb="FF2D2D2D"/>
        <sz val="8.0"/>
      </rPr>
      <t>SHINDE/XXX1091/RRN:5</t>
    </r>
  </si>
  <si>
    <r>
      <rPr>
        <rFont val="Arial MT"/>
        <color rgb="FF2D2D2D"/>
        <sz val="8.0"/>
      </rPr>
      <t>34859282474/AXIS BANK</t>
    </r>
  </si>
  <si>
    <r>
      <rPr>
        <rFont val="Arial MT"/>
        <color rgb="FF2D2D2D"/>
        <sz val="8.0"/>
      </rPr>
      <t>PCA:5301:4700000870</t>
    </r>
  </si>
  <si>
    <r>
      <rPr>
        <rFont val="Arial MT"/>
        <color rgb="FF2D2D2D"/>
        <sz val="8.0"/>
      </rPr>
      <t>13369:IND*LinkedIn (P</t>
    </r>
  </si>
  <si>
    <r>
      <rPr>
        <rFont val="Arial MT"/>
        <color rgb="FF2D2D2D"/>
        <sz val="8.0"/>
      </rPr>
      <t>GSI)    MUMBAI        IN</t>
    </r>
  </si>
  <si>
    <r>
      <rPr>
        <rFont val="Arial MT"/>
        <color rgb="FF2D2D2D"/>
        <sz val="8.0"/>
      </rPr>
      <t>D14-DEC-25 18:54:20</t>
    </r>
  </si>
  <si>
    <r>
      <rPr>
        <rFont val="Arial MT"/>
        <color rgb="FF2D2D2D"/>
        <sz val="8.0"/>
      </rPr>
      <t>YESI6534800999</t>
    </r>
  </si>
  <si>
    <r>
      <rPr>
        <rFont val="Arial MT"/>
        <color rgb="FF2D2D2D"/>
        <sz val="8.0"/>
      </rPr>
      <t>IMPS/NA/XXXX8029/RRN</t>
    </r>
  </si>
  <si>
    <r>
      <rPr>
        <rFont val="Arial MT"/>
        <color rgb="FF2D2D2D"/>
        <sz val="8.0"/>
      </rPr>
      <t>:534885782247/PC22862</t>
    </r>
  </si>
  <si>
    <r>
      <rPr>
        <rFont val="Arial MT"/>
        <color rgb="FF2D2D2D"/>
        <sz val="8.0"/>
      </rPr>
      <t>93105405983/AU SMALL</t>
    </r>
  </si>
  <si>
    <r>
      <rPr>
        <rFont val="Arial MT"/>
        <color rgb="FF2D2D2D"/>
        <sz val="8.0"/>
      </rPr>
      <t>FINANCE BANK LIMITED</t>
    </r>
  </si>
  <si>
    <r>
      <rPr>
        <rFont val="Arial MT"/>
        <color rgb="FF2D2D2D"/>
        <sz val="8.0"/>
      </rPr>
      <t>/Ojas Jaynath Phalke/IFB</t>
    </r>
  </si>
  <si>
    <r>
      <rPr>
        <rFont val="Arial MT"/>
        <color rgb="FF2D2D2D"/>
        <sz val="8.0"/>
      </rPr>
      <t>YBP5349381665</t>
    </r>
  </si>
  <si>
    <r>
      <rPr>
        <rFont val="Arial MT"/>
        <color rgb="FF2D2D2D"/>
        <sz val="8.0"/>
      </rPr>
      <t>IMPS/Ojas Jaynath Pha</t>
    </r>
  </si>
  <si>
    <t>Barshi site second payment</t>
  </si>
  <si>
    <r>
      <rPr>
        <rFont val="Arial MT"/>
        <color rgb="FF2D2D2D"/>
        <sz val="8.0"/>
      </rPr>
      <t>lke/XXX8029/RRN:5349</t>
    </r>
  </si>
  <si>
    <r>
      <rPr>
        <rFont val="Arial MT"/>
        <color rgb="FF2D2D2D"/>
        <sz val="8.0"/>
      </rPr>
      <t>00445930/AU SMALL FI</t>
    </r>
  </si>
  <si>
    <r>
      <rPr>
        <rFont val="Arial MT"/>
        <color rgb="FF2D2D2D"/>
        <sz val="8.0"/>
      </rPr>
      <t>NANCE BANK LIMITED</t>
    </r>
  </si>
  <si>
    <r>
      <rPr>
        <rFont val="Arial MT"/>
        <color rgb="FF2D2D2D"/>
        <sz val="8.0"/>
      </rPr>
      <t>YESI6534900456</t>
    </r>
  </si>
  <si>
    <r>
      <rPr>
        <rFont val="Arial MT"/>
        <color rgb="FF2D2D2D"/>
        <sz val="8.0"/>
      </rPr>
      <t>IMPS/NA/XXXX3440/RRN</t>
    </r>
  </si>
  <si>
    <t>Loni karbhor fabrication</t>
  </si>
  <si>
    <r>
      <rPr>
        <rFont val="Arial MT"/>
        <color rgb="FF2D2D2D"/>
        <sz val="8.0"/>
      </rPr>
      <t>:534986005735/PC22881</t>
    </r>
  </si>
  <si>
    <r>
      <rPr>
        <rFont val="Arial MT"/>
        <color rgb="FF2D2D2D"/>
        <sz val="8.0"/>
      </rPr>
      <t>71239975603/STATE BA</t>
    </r>
  </si>
  <si>
    <r>
      <rPr>
        <rFont val="Arial MT"/>
        <color rgb="FF2D2D2D"/>
        <sz val="8.0"/>
      </rPr>
      <t>NK OF INDIA/Keshav M K</t>
    </r>
  </si>
  <si>
    <r>
      <rPr>
        <rFont val="Arial MT"/>
        <color rgb="FF2D2D2D"/>
        <sz val="8.0"/>
      </rPr>
      <t>hopade/Loni Karbhor site</t>
    </r>
  </si>
  <si>
    <r>
      <rPr>
        <rFont val="Arial MT"/>
        <color rgb="FF2D2D2D"/>
        <sz val="8.0"/>
      </rPr>
      <t>YESI6535000194</t>
    </r>
  </si>
  <si>
    <r>
      <rPr>
        <rFont val="Arial MT"/>
        <color rgb="FF2D2D2D"/>
        <sz val="8.0"/>
      </rPr>
      <t>IMPS/NA/XXXX1031/RR</t>
    </r>
  </si>
  <si>
    <t xml:space="preserve">Electrical work </t>
  </si>
  <si>
    <r>
      <rPr>
        <rFont val="Arial MT"/>
        <color rgb="FF2D2D2D"/>
        <sz val="8.0"/>
      </rPr>
      <t>N:535086627538/PC229</t>
    </r>
  </si>
  <si>
    <r>
      <rPr>
        <rFont val="Arial MT"/>
        <color rgb="FF2D2D2D"/>
        <sz val="8.0"/>
      </rPr>
      <t>4616213860904/KOTAK</t>
    </r>
  </si>
  <si>
    <r>
      <rPr>
        <rFont val="Arial MT"/>
        <color rgb="FF2D2D2D"/>
        <sz val="8.0"/>
      </rPr>
      <t>MAHINDRA BANK LIM</t>
    </r>
  </si>
  <si>
    <r>
      <rPr>
        <rFont val="Arial MT"/>
        <color rgb="FF2D2D2D"/>
        <sz val="8.0"/>
      </rPr>
      <t>ITED/Yogesh Sathe/IFB</t>
    </r>
  </si>
  <si>
    <r>
      <rPr>
        <rFont val="Arial MT"/>
        <color rgb="FF2D2D2D"/>
        <sz val="8.0"/>
      </rPr>
      <t>YESI6535000348</t>
    </r>
  </si>
  <si>
    <r>
      <rPr>
        <rFont val="Arial MT"/>
        <color rgb="FF2D2D2D"/>
        <sz val="8.0"/>
      </rPr>
      <t>IMPS/NA/XXXX1031/RR</t>
    </r>
  </si>
  <si>
    <t>Electrical work</t>
  </si>
  <si>
    <r>
      <rPr>
        <rFont val="Arial MT"/>
        <color rgb="FF2D2D2D"/>
        <sz val="8.0"/>
      </rPr>
      <t>N:535086720692/PC22</t>
    </r>
  </si>
  <si>
    <r>
      <rPr>
        <rFont val="Arial MT"/>
        <color rgb="FF2D2D2D"/>
        <sz val="8.0"/>
      </rPr>
      <t>9518545696556/KOTAK</t>
    </r>
  </si>
  <si>
    <r>
      <rPr>
        <rFont val="Arial MT"/>
        <color rgb="FF2D2D2D"/>
        <sz val="8.0"/>
      </rPr>
      <t>MAHINDRA BANK LIM</t>
    </r>
  </si>
  <si>
    <r>
      <rPr>
        <rFont val="Arial MT"/>
        <color rgb="FF2D2D2D"/>
        <sz val="8.0"/>
      </rPr>
      <t>ITED/Yogesh Sathe/IFB</t>
    </r>
  </si>
  <si>
    <r>
      <rPr>
        <rFont val="Arial MT"/>
        <color rgb="FF2D2D2D"/>
        <sz val="8.0"/>
      </rPr>
      <t>YESI6535100562</t>
    </r>
  </si>
  <si>
    <r>
      <rPr>
        <rFont val="Arial MT"/>
        <color rgb="FF2D2D2D"/>
        <sz val="8.0"/>
      </rPr>
      <t>IMPS/NA/XXXX8029/RRN</t>
    </r>
  </si>
  <si>
    <t>UTL Barshi</t>
  </si>
  <si>
    <r>
      <rPr>
        <rFont val="Arial MT"/>
        <color rgb="FF2D2D2D"/>
        <sz val="8.0"/>
      </rPr>
      <t>:535187546782/PC23047</t>
    </r>
  </si>
  <si>
    <r>
      <rPr>
        <rFont val="Arial MT"/>
        <color rgb="FF2D2D2D"/>
        <sz val="8.0"/>
      </rPr>
      <t>0767059424/AU SMALL F</t>
    </r>
  </si>
  <si>
    <r>
      <rPr>
        <rFont val="Arial MT"/>
        <color rgb="FF2D2D2D"/>
        <sz val="8.0"/>
      </rPr>
      <t>INANCE BANK LIMITED/</t>
    </r>
  </si>
  <si>
    <r>
      <rPr>
        <rFont val="Arial MT"/>
        <color rgb="FF2D2D2D"/>
        <sz val="8.0"/>
      </rPr>
      <t>Ojas Jaynath Phalke/UTL</t>
    </r>
  </si>
  <si>
    <r>
      <rPr>
        <rFont val="Arial MT"/>
        <color rgb="FF2D2D2D"/>
        <sz val="8.0"/>
      </rPr>
      <t>YESI6535101191</t>
    </r>
  </si>
  <si>
    <r>
      <rPr>
        <rFont val="Arial MT"/>
        <color rgb="FF2D2D2D"/>
        <sz val="8.0"/>
      </rPr>
      <t>IMPS/NA/XXXX8029/RRN:5</t>
    </r>
  </si>
  <si>
    <t>Barshi Fabrication</t>
  </si>
  <si>
    <r>
      <rPr>
        <rFont val="Arial MT"/>
        <color rgb="FF2D2D2D"/>
        <sz val="8.0"/>
      </rPr>
      <t>35187791464/PC230797319</t>
    </r>
  </si>
  <si>
    <r>
      <rPr>
        <rFont val="Arial MT"/>
        <color rgb="FF2D2D2D"/>
        <sz val="8.0"/>
      </rPr>
      <t>0242747/AU SMALL FINANC</t>
    </r>
  </si>
  <si>
    <r>
      <rPr>
        <rFont val="Arial MT"/>
        <color rgb="FF2D2D2D"/>
        <sz val="8.0"/>
      </rPr>
      <t>E BANK LIMITED/Ojas Jayn</t>
    </r>
  </si>
  <si>
    <r>
      <rPr>
        <rFont val="Arial MT"/>
        <color rgb="FF2D2D2D"/>
        <sz val="8.0"/>
      </rPr>
      <t>ath Phalke/Fabrication Barsh</t>
    </r>
  </si>
  <si>
    <r>
      <rPr>
        <rFont val="Arial MT"/>
        <color rgb="FF2D2D2D"/>
        <sz val="8.0"/>
      </rPr>
      <t>YESI6535300358</t>
    </r>
  </si>
  <si>
    <r>
      <rPr>
        <rFont val="Arial MT"/>
        <color rgb="FF2D2D2D"/>
        <sz val="8.0"/>
      </rPr>
      <t>IMPS/NA/XXXX8029/RRN</t>
    </r>
  </si>
  <si>
    <r>
      <rPr>
        <rFont val="Arial MT"/>
        <color rgb="FF2D2D2D"/>
        <sz val="8.0"/>
      </rPr>
      <t>:535388758363/PC23182</t>
    </r>
  </si>
  <si>
    <r>
      <rPr>
        <rFont val="Arial MT"/>
        <color rgb="FF2D2D2D"/>
        <sz val="8.0"/>
      </rPr>
      <t>74162874203/AU SMALL</t>
    </r>
  </si>
  <si>
    <r>
      <rPr>
        <rFont val="Arial MT"/>
        <color rgb="FF2D2D2D"/>
        <sz val="8.0"/>
      </rPr>
      <t>FINANCE BANK LIMITED</t>
    </r>
  </si>
  <si>
    <r>
      <rPr>
        <rFont val="Arial MT"/>
        <color rgb="FF2D2D2D"/>
        <sz val="8.0"/>
      </rPr>
      <t>/Ojas Jaynath Phalke/IFB</t>
    </r>
  </si>
  <si>
    <r>
      <rPr>
        <rFont val="Arial MT"/>
        <color rgb="FF2D2D2D"/>
        <sz val="8.0"/>
      </rPr>
      <t>YESI6535300493</t>
    </r>
  </si>
  <si>
    <r>
      <rPr>
        <rFont val="Arial MT"/>
        <color rgb="FF2D2D2D"/>
        <sz val="8.0"/>
      </rPr>
      <t>IMPS/NA/XXXX3440/RR</t>
    </r>
  </si>
  <si>
    <t>Gupta fabrication rework</t>
  </si>
  <si>
    <r>
      <rPr>
        <rFont val="Arial MT"/>
        <color rgb="FF2D2D2D"/>
        <sz val="8.0"/>
      </rPr>
      <t>N:535388807146/PC231</t>
    </r>
  </si>
  <si>
    <r>
      <rPr>
        <rFont val="Arial MT"/>
        <color rgb="FF2D2D2D"/>
        <sz val="8.0"/>
      </rPr>
      <t>8958248000686/STATE</t>
    </r>
  </si>
  <si>
    <r>
      <rPr>
        <rFont val="Arial MT"/>
        <color rgb="FF2D2D2D"/>
        <sz val="8.0"/>
      </rPr>
      <t>BANK OF INDIA/Keshav</t>
    </r>
  </si>
  <si>
    <r>
      <rPr>
        <rFont val="Arial MT"/>
        <color rgb="FF2D2D2D"/>
        <sz val="8.0"/>
      </rPr>
      <t>M Khopade/Gupta rework</t>
    </r>
  </si>
  <si>
    <r>
      <rPr>
        <rFont val="Arial MT"/>
        <color rgb="FF2D2D2D"/>
        <sz val="8.0"/>
      </rPr>
      <t>PCA:5301:ZEPTOM96</t>
    </r>
  </si>
  <si>
    <t>Water</t>
  </si>
  <si>
    <r>
      <rPr>
        <rFont val="Arial MT"/>
        <color rgb="FF2D2D2D"/>
        <sz val="8.0"/>
      </rPr>
      <t>0CYBSPP:Zepto</t>
    </r>
  </si>
  <si>
    <r>
      <rPr>
        <rFont val="Arial MT"/>
        <color rgb="FF2D2D2D"/>
        <sz val="8.0"/>
      </rPr>
      <t>Bangalore     IN</t>
    </r>
  </si>
  <si>
    <r>
      <rPr>
        <rFont val="Arial MT"/>
        <color rgb="FF2D2D2D"/>
        <sz val="8.0"/>
      </rPr>
      <t>D19-DEC-25 13:12:09</t>
    </r>
  </si>
  <si>
    <r>
      <rPr>
        <rFont val="Arial MT"/>
        <color rgb="FF2D2D2D"/>
        <sz val="8.0"/>
      </rPr>
      <t>YESI6535301415</t>
    </r>
  </si>
  <si>
    <r>
      <rPr>
        <rFont val="Arial MT"/>
        <color rgb="FF2D2D2D"/>
        <sz val="8.0"/>
      </rPr>
      <t>IMPS/NA/XXXX8029/RRN</t>
    </r>
  </si>
  <si>
    <r>
      <rPr>
        <rFont val="Arial MT"/>
        <color rgb="FF2D2D2D"/>
        <sz val="8.0"/>
      </rPr>
      <t>:535389171300/PC23241</t>
    </r>
  </si>
  <si>
    <r>
      <rPr>
        <rFont val="Arial MT"/>
        <color rgb="FF2D2D2D"/>
        <sz val="8.0"/>
      </rPr>
      <t>22216156765/AU SMALL</t>
    </r>
  </si>
  <si>
    <r>
      <rPr>
        <rFont val="Arial MT"/>
        <color rgb="FF2D2D2D"/>
        <sz val="8.0"/>
      </rPr>
      <t>FINANCE BANK LIMITED</t>
    </r>
  </si>
  <si>
    <r>
      <rPr>
        <rFont val="Arial MT"/>
        <color rgb="FF2D2D2D"/>
        <sz val="8.0"/>
      </rPr>
      <t>/Ojas Jaynath Phalke/IFB</t>
    </r>
  </si>
  <si>
    <r>
      <rPr>
        <rFont val="Arial"/>
        <color rgb="FF2D2D2D"/>
        <sz val="8.0"/>
      </rPr>
      <t>YBP5355386490</t>
    </r>
  </si>
  <si>
    <r>
      <rPr>
        <rFont val="Arial"/>
        <color rgb="FF2D2D2D"/>
        <sz val="8.0"/>
      </rPr>
      <t>IMPS/AVANISH DEVEN</t>
    </r>
  </si>
  <si>
    <t>loan</t>
  </si>
  <si>
    <r>
      <rPr>
        <rFont val="Arial"/>
        <color rgb="FF2D2D2D"/>
        <sz val="8.0"/>
      </rPr>
      <t>DRA DESHMUKH/XXX9</t>
    </r>
  </si>
  <si>
    <r>
      <rPr>
        <rFont val="Arial"/>
        <color rgb="FF2D2D2D"/>
        <sz val="8.0"/>
      </rPr>
      <t>542/RRN:535510203291/</t>
    </r>
  </si>
  <si>
    <r>
      <rPr>
        <rFont val="Arial"/>
        <color rgb="FF2D2D2D"/>
        <sz val="8.0"/>
      </rPr>
      <t>YESI6535500216</t>
    </r>
  </si>
  <si>
    <r>
      <rPr>
        <rFont val="Arial"/>
        <color rgb="FF2D2D2D"/>
        <sz val="8.0"/>
      </rPr>
      <t>IMPS/NA/XXXX1343/RRN:53</t>
    </r>
  </si>
  <si>
    <t>Barshi overheads</t>
  </si>
  <si>
    <r>
      <rPr>
        <rFont val="Arial"/>
        <color rgb="FF2D2D2D"/>
        <sz val="8.0"/>
      </rPr>
      <t>5589911927/PC2332087101</t>
    </r>
  </si>
  <si>
    <r>
      <rPr>
        <rFont val="Arial"/>
        <color rgb="FF2D2D2D"/>
        <sz val="8.0"/>
      </rPr>
      <t>629107/KOTAK MAHINDRA</t>
    </r>
  </si>
  <si>
    <r>
      <rPr>
        <rFont val="Arial"/>
        <color rgb="FF2D2D2D"/>
        <sz val="8.0"/>
      </rPr>
      <t>BANK LIMITED/Tushar Popa</t>
    </r>
  </si>
  <si>
    <r>
      <rPr>
        <rFont val="Arial"/>
        <color rgb="FF2D2D2D"/>
        <sz val="8.0"/>
      </rPr>
      <t>trao Mane/Barshi Overheads</t>
    </r>
  </si>
  <si>
    <r>
      <rPr>
        <rFont val="Arial"/>
        <color rgb="FF2D2D2D"/>
        <sz val="8.0"/>
      </rPr>
      <t>YESI6535500546</t>
    </r>
  </si>
  <si>
    <r>
      <rPr>
        <rFont val="Arial"/>
        <color rgb="FF2D2D2D"/>
        <sz val="8.0"/>
      </rPr>
      <t>IMPS/NA/XXXX3440/RRN</t>
    </r>
  </si>
  <si>
    <t>Pande final fabrication</t>
  </si>
  <si>
    <r>
      <rPr>
        <rFont val="Arial"/>
        <color rgb="FF2D2D2D"/>
        <sz val="8.0"/>
      </rPr>
      <t>:535590041712/PC233316</t>
    </r>
  </si>
  <si>
    <r>
      <rPr>
        <rFont val="Arial"/>
        <color rgb="FF2D2D2D"/>
        <sz val="8.0"/>
      </rPr>
      <t>0124046307/STATE BANK</t>
    </r>
  </si>
  <si>
    <r>
      <rPr>
        <rFont val="Arial"/>
        <color rgb="FF2D2D2D"/>
        <sz val="8.0"/>
      </rPr>
      <t>OF INDIA/Keshav M Khop</t>
    </r>
  </si>
  <si>
    <r>
      <rPr>
        <rFont val="Arial"/>
        <color rgb="FF2D2D2D"/>
        <sz val="8.0"/>
      </rPr>
      <t>ade/Pande Fabrication final</t>
    </r>
  </si>
  <si>
    <r>
      <rPr>
        <rFont val="Arial"/>
        <color rgb="FF2D2D2D"/>
        <sz val="8.0"/>
      </rPr>
      <t>YESI6535500549</t>
    </r>
  </si>
  <si>
    <r>
      <rPr>
        <rFont val="Arial"/>
        <color rgb="FF2D2D2D"/>
        <sz val="8.0"/>
      </rPr>
      <t>IMPS/NA/XXXX8029/RRN:5</t>
    </r>
  </si>
  <si>
    <t xml:space="preserve">Kisan booth final </t>
  </si>
  <si>
    <r>
      <rPr>
        <rFont val="Arial"/>
        <color rgb="FF2D2D2D"/>
        <sz val="8.0"/>
      </rPr>
      <t>35590043429/PC233317425</t>
    </r>
  </si>
  <si>
    <r>
      <rPr>
        <rFont val="Arial"/>
        <color rgb="FF2D2D2D"/>
        <sz val="8.0"/>
      </rPr>
      <t>4249808/AU SMALL FINAN</t>
    </r>
  </si>
  <si>
    <r>
      <rPr>
        <rFont val="Arial"/>
        <color rgb="FF2D2D2D"/>
        <sz val="8.0"/>
      </rPr>
      <t>CE BANK LIMITED/Ojas Jay</t>
    </r>
  </si>
  <si>
    <r>
      <rPr>
        <rFont val="Arial"/>
        <color rgb="FF2D2D2D"/>
        <sz val="8.0"/>
      </rPr>
      <t>nath Phalke/kisan booth final</t>
    </r>
  </si>
  <si>
    <r>
      <rPr>
        <rFont val="Arial"/>
        <color rgb="FF2D2D2D"/>
        <sz val="8.0"/>
      </rPr>
      <t>YBS5356174133</t>
    </r>
  </si>
  <si>
    <r>
      <rPr>
        <rFont val="Arial"/>
        <color rgb="FF2D2D2D"/>
        <sz val="8.0"/>
      </rPr>
      <t>UPI/894517104957/Fro</t>
    </r>
  </si>
  <si>
    <t>Trial</t>
  </si>
  <si>
    <r>
      <rPr>
        <rFont val="Arial"/>
        <color rgb="FF2D2D2D"/>
        <sz val="8.0"/>
      </rPr>
      <t>m:7666599407@axl/T</t>
    </r>
  </si>
  <si>
    <r>
      <rPr>
        <rFont val="Arial"/>
        <color rgb="FF2D2D2D"/>
        <sz val="8.0"/>
      </rPr>
      <t>o:9823980211@yes/P</t>
    </r>
  </si>
  <si>
    <r>
      <rPr>
        <rFont val="Arial"/>
        <color rgb="FF2D2D2D"/>
        <sz val="8.0"/>
      </rPr>
      <t>ayment from PhonePe</t>
    </r>
  </si>
  <si>
    <r>
      <rPr>
        <rFont val="Arial"/>
        <color rgb="FF2D2D2D"/>
        <sz val="8.0"/>
      </rPr>
      <t>YBP5356387348</t>
    </r>
  </si>
  <si>
    <r>
      <rPr>
        <rFont val="Arial"/>
        <color rgb="FF2D2D2D"/>
        <sz val="8.0"/>
      </rPr>
      <t>IMPS/AVANISH DEVEN</t>
    </r>
  </si>
  <si>
    <r>
      <rPr>
        <rFont val="Arial"/>
        <color rgb="FF2D2D2D"/>
        <sz val="8.0"/>
      </rPr>
      <t>DRA DESHMUKH/XXX9</t>
    </r>
  </si>
  <si>
    <r>
      <rPr>
        <rFont val="Arial"/>
        <color rgb="FF2D2D2D"/>
        <sz val="8.0"/>
      </rPr>
      <t>542/RRN:535614673609/</t>
    </r>
  </si>
  <si>
    <r>
      <rPr>
        <rFont val="Arial"/>
        <color rgb="FF2D2D2D"/>
        <sz val="8.0"/>
      </rPr>
      <t>YESI6535600725</t>
    </r>
  </si>
  <si>
    <r>
      <rPr>
        <rFont val="Arial"/>
        <color rgb="FF2D2D2D"/>
        <sz val="8.0"/>
      </rPr>
      <t>IMPS/NA/XXXX8029/RRN:53</t>
    </r>
  </si>
  <si>
    <t>Aniruddha MUrgudkar Signing</t>
  </si>
  <si>
    <r>
      <rPr>
        <rFont val="Arial"/>
        <color rgb="FF2D2D2D"/>
        <sz val="8.0"/>
      </rPr>
      <t>5690696649/PC2337722342</t>
    </r>
  </si>
  <si>
    <r>
      <rPr>
        <rFont val="Arial"/>
        <color rgb="FF2D2D2D"/>
        <sz val="8.0"/>
      </rPr>
      <t>07040/AU SMALL FINANCE</t>
    </r>
  </si>
  <si>
    <r>
      <rPr>
        <rFont val="Arial"/>
        <color rgb="FF2D2D2D"/>
        <sz val="8.0"/>
      </rPr>
      <t>BANK LIMITED/Ojas Jaynath</t>
    </r>
  </si>
  <si>
    <r>
      <rPr>
        <rFont val="Arial"/>
        <color rgb="FF2D2D2D"/>
        <sz val="8.0"/>
      </rPr>
      <t>Phalke/Aniruddha Murgudka</t>
    </r>
  </si>
  <si>
    <r>
      <rPr>
        <rFont val="Arial"/>
        <color rgb="FF2D2D2D"/>
        <sz val="8.0"/>
      </rPr>
      <t>YESI6535600726</t>
    </r>
  </si>
  <si>
    <r>
      <rPr>
        <rFont val="Arial"/>
        <color rgb="FF2D2D2D"/>
        <sz val="8.0"/>
      </rPr>
      <t>IMPS/NA/XXXX5494/RR</t>
    </r>
  </si>
  <si>
    <t>Barshi Electrical</t>
  </si>
  <si>
    <r>
      <rPr>
        <rFont val="Arial"/>
        <color rgb="FF2D2D2D"/>
        <sz val="8.0"/>
      </rPr>
      <t>N:535690697926/PC233</t>
    </r>
  </si>
  <si>
    <r>
      <rPr>
        <rFont val="Arial"/>
        <color rgb="FF2D2D2D"/>
        <sz val="8.0"/>
      </rPr>
      <t>773174030774/HDFC B</t>
    </r>
  </si>
  <si>
    <r>
      <rPr>
        <rFont val="Arial"/>
        <color rgb="FF2D2D2D"/>
        <sz val="8.0"/>
      </rPr>
      <t>ANK/Sanskruti Electric C</t>
    </r>
  </si>
  <si>
    <r>
      <rPr>
        <rFont val="Arial"/>
        <color rgb="FF2D2D2D"/>
        <sz val="8.0"/>
      </rPr>
      <t>om/Barshi site electrical</t>
    </r>
  </si>
  <si>
    <r>
      <rPr>
        <rFont val="Arial"/>
        <color rgb="FF2D2D2D"/>
        <sz val="8.0"/>
      </rPr>
      <t>YBP5356387494</t>
    </r>
  </si>
  <si>
    <r>
      <rPr>
        <rFont val="Arial"/>
        <color rgb="FF2D2D2D"/>
        <sz val="8.0"/>
      </rPr>
      <t>IMPS/VINODBIBHISHAN</t>
    </r>
  </si>
  <si>
    <t>Barshi Payment</t>
  </si>
  <si>
    <r>
      <rPr>
        <rFont val="Arial"/>
        <color rgb="FF2D2D2D"/>
        <sz val="8.0"/>
      </rPr>
      <t>SHINDE/XXX1091/RRN:5</t>
    </r>
  </si>
  <si>
    <r>
      <rPr>
        <rFont val="Arial"/>
        <color rgb="FF2D2D2D"/>
        <sz val="8.0"/>
      </rPr>
      <t>35689100696/AXIS BANK</t>
    </r>
  </si>
  <si>
    <r>
      <rPr>
        <rFont val="Arial"/>
        <color rgb="FF2D2D2D"/>
        <sz val="8.0"/>
      </rPr>
      <t>YES0N535769970</t>
    </r>
  </si>
  <si>
    <r>
      <rPr>
        <rFont val="Arial"/>
        <color rgb="FF2D2D2D"/>
        <sz val="8.0"/>
      </rPr>
      <t>NEFT Cr-IBKL0NEFT0</t>
    </r>
  </si>
  <si>
    <t>Aniruudha Murgudkar refund</t>
  </si>
  <si>
    <r>
      <rPr>
        <rFont val="Arial"/>
        <color rgb="FF2D2D2D"/>
        <sz val="8.0"/>
      </rPr>
      <t>1-ANIRUDDHA-ROLLI</t>
    </r>
  </si>
  <si>
    <r>
      <rPr>
        <rFont val="Arial"/>
        <color rgb="FF2D2D2D"/>
        <sz val="8.0"/>
      </rPr>
      <t>NG ENERGY OPC PVT</t>
    </r>
  </si>
  <si>
    <r>
      <rPr>
        <rFont val="Arial"/>
        <color rgb="FF2D2D2D"/>
        <sz val="8.0"/>
      </rPr>
      <t>LT-1223i29662428101</t>
    </r>
  </si>
  <si>
    <r>
      <rPr>
        <rFont val="Arial"/>
        <color rgb="FF2D2D2D"/>
        <sz val="8.0"/>
      </rPr>
      <t>YESI6535900304</t>
    </r>
  </si>
  <si>
    <r>
      <rPr>
        <rFont val="Arial"/>
        <color rgb="FF2D2D2D"/>
        <sz val="8.0"/>
      </rPr>
      <t>IMPS/NA/XXXX1343/RR</t>
    </r>
  </si>
  <si>
    <t>Sachin Ghadge loan increase</t>
  </si>
  <si>
    <r>
      <rPr>
        <rFont val="Arial"/>
        <color rgb="FF2D2D2D"/>
        <sz val="8.0"/>
      </rPr>
      <t>N:535992557121/PC235</t>
    </r>
  </si>
  <si>
    <r>
      <rPr>
        <rFont val="Arial"/>
        <color rgb="FF2D2D2D"/>
        <sz val="8.0"/>
      </rPr>
      <t>727412693379/KOTAK M</t>
    </r>
  </si>
  <si>
    <r>
      <rPr>
        <rFont val="Arial"/>
        <color rgb="FF2D2D2D"/>
        <sz val="8.0"/>
      </rPr>
      <t>AHINDRA BANK LIMITE</t>
    </r>
  </si>
  <si>
    <r>
      <rPr>
        <rFont val="Arial"/>
        <color rgb="FF2D2D2D"/>
        <sz val="8.0"/>
      </rPr>
      <t>D/Tushar Popatrao Man</t>
    </r>
  </si>
  <si>
    <r>
      <rPr>
        <rFont val="Arial"/>
        <color rgb="FF2D2D2D"/>
        <sz val="8.0"/>
      </rPr>
      <t>e/Sachin Ghadage Load</t>
    </r>
  </si>
  <si>
    <r>
      <rPr>
        <rFont val="Arial"/>
        <color rgb="FF2D2D2D"/>
        <sz val="8.0"/>
      </rPr>
      <t>YESI6535900387</t>
    </r>
  </si>
  <si>
    <r>
      <rPr>
        <rFont val="Arial"/>
        <color rgb="FF2D2D2D"/>
        <sz val="8.0"/>
      </rPr>
      <t>IMPS/NA/XXXX1123/R</t>
    </r>
  </si>
  <si>
    <r>
      <rPr>
        <rFont val="Arial"/>
        <color rgb="FF2D2D2D"/>
        <sz val="8.0"/>
      </rPr>
      <t>RN:535992594270/PC2</t>
    </r>
  </si>
  <si>
    <r>
      <rPr>
        <rFont val="Arial"/>
        <color rgb="FF2D2D2D"/>
        <sz val="8.0"/>
      </rPr>
      <t>357927132858644/HDF</t>
    </r>
  </si>
  <si>
    <r>
      <rPr>
        <rFont val="Arial"/>
        <color rgb="FF2D2D2D"/>
        <sz val="8.0"/>
      </rPr>
      <t>C BANK/Jaideo Prasad</t>
    </r>
  </si>
  <si>
    <r>
      <rPr>
        <rFont val="Arial"/>
        <color rgb="FF2D2D2D"/>
        <sz val="8.0"/>
      </rPr>
      <t>Tanti/Consultancy Fees</t>
    </r>
  </si>
  <si>
    <r>
      <rPr>
        <rFont val="Arial"/>
        <color rgb="FF2D2D2D"/>
        <sz val="8.0"/>
      </rPr>
      <t>YES0N536098365</t>
    </r>
  </si>
  <si>
    <r>
      <rPr>
        <rFont val="Arial"/>
        <color rgb="FF2D2D2D"/>
        <sz val="8.0"/>
      </rPr>
      <t>NEFT Cr-HDFC0004555-M</t>
    </r>
  </si>
  <si>
    <t xml:space="preserve">Loni Kalbhor Rahul bhutada second payment </t>
  </si>
  <si>
    <r>
      <rPr>
        <rFont val="Arial"/>
        <color rgb="FF2D2D2D"/>
        <sz val="8.0"/>
      </rPr>
      <t>AHESH KAILAS JAVALKAR</t>
    </r>
  </si>
  <si>
    <r>
      <rPr>
        <rFont val="Arial"/>
        <color rgb="FF2D2D2D"/>
        <sz val="8.0"/>
      </rPr>
      <t>-ROLLING ENERGY (OPC</t>
    </r>
  </si>
  <si>
    <t>) PVT-HDFCH00694995668</t>
  </si>
  <si>
    <r>
      <rPr>
        <rFont val="Arial"/>
        <color rgb="FF2D2D2D"/>
        <sz val="8.0"/>
      </rPr>
      <t>YES0N536099224</t>
    </r>
  </si>
  <si>
    <r>
      <rPr>
        <rFont val="Arial"/>
        <color rgb="FF2D2D2D"/>
        <sz val="8.0"/>
      </rPr>
      <t>NEFT Cr-SBIN0004108</t>
    </r>
  </si>
  <si>
    <t>10% / 20% Park 59</t>
  </si>
  <si>
    <r>
      <rPr>
        <rFont val="Arial"/>
        <color rgb="FF2D2D2D"/>
        <sz val="8.0"/>
      </rPr>
      <t>-SHIV DEVELOPERS-</t>
    </r>
  </si>
  <si>
    <r>
      <rPr>
        <rFont val="Arial"/>
        <color rgb="FF2D2D2D"/>
        <sz val="8.0"/>
      </rPr>
      <t>Rolling Energy Private</t>
    </r>
  </si>
  <si>
    <r>
      <rPr>
        <rFont val="Arial"/>
        <color rgb="FF2D2D2D"/>
        <sz val="8.0"/>
      </rPr>
      <t>Li-SBIN425360503580</t>
    </r>
  </si>
  <si>
    <r>
      <rPr>
        <rFont val="Arial"/>
        <color rgb="FF2D2D2D"/>
        <sz val="8.0"/>
      </rPr>
      <t>YESI6536200875</t>
    </r>
  </si>
  <si>
    <r>
      <rPr>
        <rFont val="Arial"/>
        <color rgb="FF2D2D2D"/>
        <sz val="8.0"/>
      </rPr>
      <t>IMPS/NA/XXXX4274/RRN:5</t>
    </r>
  </si>
  <si>
    <t>Dlight kisan</t>
  </si>
  <si>
    <r>
      <rPr>
        <rFont val="Arial"/>
        <color rgb="FF2D2D2D"/>
        <sz val="8.0"/>
      </rPr>
      <t>36294700608/PC237770520</t>
    </r>
  </si>
  <si>
    <r>
      <rPr>
        <rFont val="Arial"/>
        <color rgb="FF2D2D2D"/>
        <sz val="8.0"/>
      </rPr>
      <t>9115364/HDFC BANK/TEJIR</t>
    </r>
  </si>
  <si>
    <r>
      <rPr>
        <rFont val="Arial"/>
        <color rgb="FF2D2D2D"/>
        <sz val="8.0"/>
      </rPr>
      <t>OOP SUSTAINABLE SOLU</t>
    </r>
  </si>
  <si>
    <r>
      <rPr>
        <rFont val="Arial"/>
        <color rgb="FF2D2D2D"/>
        <sz val="8.0"/>
      </rPr>
      <t>TIONS PVT /DLIGHT KISAN</t>
    </r>
  </si>
  <si>
    <r>
      <rPr>
        <rFont val="Arial"/>
        <color rgb="FF2D2D2D"/>
        <sz val="8.0"/>
      </rPr>
      <t>YESI6536300507</t>
    </r>
  </si>
  <si>
    <r>
      <rPr>
        <rFont val="Arial"/>
        <color rgb="FF2D2D2D"/>
        <sz val="8.0"/>
      </rPr>
      <t>IMPS/NA/XXXX1343/RRN</t>
    </r>
  </si>
  <si>
    <t xml:space="preserve">Sachin GHadge Sanction </t>
  </si>
  <si>
    <r>
      <rPr>
        <rFont val="Arial"/>
        <color rgb="FF2D2D2D"/>
        <sz val="8.0"/>
      </rPr>
      <t>:536394996090/PC23803</t>
    </r>
  </si>
  <si>
    <r>
      <rPr>
        <rFont val="Arial"/>
        <color rgb="FF2D2D2D"/>
        <sz val="8.0"/>
      </rPr>
      <t>878658829/KOTAK MAH</t>
    </r>
  </si>
  <si>
    <r>
      <rPr>
        <rFont val="Arial"/>
        <color rgb="FF2D2D2D"/>
        <sz val="8.0"/>
      </rPr>
      <t>INDRA BANK LIMITED/T</t>
    </r>
  </si>
  <si>
    <r>
      <rPr>
        <rFont val="Arial"/>
        <color rgb="FF2D2D2D"/>
        <sz val="8.0"/>
      </rPr>
      <t>ushar Popatrao Mane/SA</t>
    </r>
  </si>
  <si>
    <r>
      <rPr>
        <rFont val="Arial"/>
        <color rgb="FF2D2D2D"/>
        <sz val="8.0"/>
      </rPr>
      <t>CHIN GHADAGE SANCT</t>
    </r>
  </si>
  <si>
    <r>
      <rPr>
        <rFont val="Arial"/>
        <color rgb="FF2D2D2D"/>
        <sz val="8.0"/>
      </rPr>
      <t>YESI6536300529</t>
    </r>
  </si>
  <si>
    <r>
      <rPr>
        <rFont val="Arial"/>
        <color rgb="FF2D2D2D"/>
        <sz val="8.0"/>
      </rPr>
      <t>IMPS/NA/XXXX3440/RR</t>
    </r>
  </si>
  <si>
    <t>Loni Kalbhor fabrication Final</t>
  </si>
  <si>
    <r>
      <rPr>
        <rFont val="Arial"/>
        <color rgb="FF2D2D2D"/>
        <sz val="8.0"/>
      </rPr>
      <t>N:536394999257/PC238</t>
    </r>
  </si>
  <si>
    <r>
      <rPr>
        <rFont val="Arial"/>
        <color rgb="FF2D2D2D"/>
        <sz val="8.0"/>
      </rPr>
      <t>043531093879/STATE B</t>
    </r>
  </si>
  <si>
    <r>
      <rPr>
        <rFont val="Arial"/>
        <color rgb="FF2D2D2D"/>
        <sz val="8.0"/>
      </rPr>
      <t>ANK OF INDIA/Keshav M</t>
    </r>
  </si>
  <si>
    <r>
      <rPr>
        <rFont val="Arial"/>
        <color rgb="FF2D2D2D"/>
        <sz val="8.0"/>
      </rPr>
      <t>Khopade/LONI KALBHO</t>
    </r>
  </si>
  <si>
    <r>
      <rPr>
        <rFont val="Arial"/>
        <color rgb="FF2D2D2D"/>
        <sz val="8.0"/>
      </rPr>
      <t>R FABRICATION FINAL</t>
    </r>
  </si>
  <si>
    <r>
      <rPr>
        <rFont val="Arial"/>
        <color rgb="FF2D2D2D"/>
        <sz val="8.0"/>
      </rPr>
      <t>YESI6536300534</t>
    </r>
  </si>
  <si>
    <r>
      <rPr>
        <rFont val="Arial"/>
        <color rgb="FF2D2D2D"/>
        <sz val="8.0"/>
      </rPr>
      <t>IMPS/NA/XXXX1031/RR</t>
    </r>
  </si>
  <si>
    <t>Barshi Site electrical work</t>
  </si>
  <si>
    <r>
      <rPr>
        <rFont val="Arial"/>
        <color rgb="FF2D2D2D"/>
        <sz val="8.0"/>
      </rPr>
      <t>N:536395002356/PC238</t>
    </r>
  </si>
  <si>
    <r>
      <rPr>
        <rFont val="Arial"/>
        <color rgb="FF2D2D2D"/>
        <sz val="8.0"/>
      </rPr>
      <t>047975404124/KOTAK</t>
    </r>
  </si>
  <si>
    <r>
      <rPr>
        <rFont val="Arial"/>
        <color rgb="FF2D2D2D"/>
        <sz val="8.0"/>
      </rPr>
      <t>MAHINDRA BANK LIMIT</t>
    </r>
  </si>
  <si>
    <r>
      <rPr>
        <rFont val="Arial"/>
        <color rgb="FF2D2D2D"/>
        <sz val="8.0"/>
      </rPr>
      <t>ED/Yogesh Sathe/BARS</t>
    </r>
  </si>
  <si>
    <r>
      <rPr>
        <rFont val="Arial"/>
        <color rgb="FF2D2D2D"/>
        <sz val="8.0"/>
      </rPr>
      <t>HI SITE LABOUR FINAL</t>
    </r>
  </si>
  <si>
    <r>
      <rPr>
        <rFont val="Arial"/>
        <color rgb="FF2D2D2D"/>
        <sz val="8.0"/>
      </rPr>
      <t>YESI6536300745</t>
    </r>
  </si>
  <si>
    <r>
      <rPr>
        <rFont val="Arial"/>
        <color rgb="FF2D2D2D"/>
        <sz val="8.0"/>
      </rPr>
      <t>IMPS/NA/XXXX0571/RRN:5</t>
    </r>
  </si>
  <si>
    <t>Loni Kalhor Bhutada SPV 5kw</t>
  </si>
  <si>
    <r>
      <rPr>
        <rFont val="Arial"/>
        <color rgb="FF2D2D2D"/>
        <sz val="8.0"/>
      </rPr>
      <t>36395093800/PC238166123</t>
    </r>
  </si>
  <si>
    <r>
      <rPr>
        <rFont val="Arial"/>
        <color rgb="FF2D2D2D"/>
        <sz val="8.0"/>
      </rPr>
      <t>3656321/BANK OF MAHAR</t>
    </r>
  </si>
  <si>
    <r>
      <rPr>
        <rFont val="Arial"/>
        <color rgb="FF2D2D2D"/>
        <sz val="8.0"/>
      </rPr>
      <t>ASHTRA/SUNSIGN/WAARE</t>
    </r>
  </si>
  <si>
    <r>
      <rPr>
        <rFont val="Arial"/>
        <color rgb="FF2D2D2D"/>
        <sz val="8.0"/>
      </rPr>
      <t>E PANELS LONI KALBHOR</t>
    </r>
  </si>
  <si>
    <r>
      <rPr>
        <rFont val="Arial"/>
        <color rgb="FF2D2D2D"/>
        <sz val="8.0"/>
      </rPr>
      <t>YESI6536301332</t>
    </r>
  </si>
  <si>
    <r>
      <rPr>
        <rFont val="Arial"/>
        <color rgb="FF2D2D2D"/>
        <sz val="8.0"/>
      </rPr>
      <t>IMPS/NA/XXXX1959/RRN</t>
    </r>
  </si>
  <si>
    <t>Loni Kalbhor Bhutada inv 5kw</t>
  </si>
  <si>
    <r>
      <rPr>
        <rFont val="Arial"/>
        <color rgb="FF2D2D2D"/>
        <sz val="8.0"/>
      </rPr>
      <t>:536395304505/PC23846</t>
    </r>
  </si>
  <si>
    <r>
      <rPr>
        <rFont val="Arial"/>
        <color rgb="FF2D2D2D"/>
        <sz val="8.0"/>
      </rPr>
      <t>925008750/KOTAK MAHI</t>
    </r>
  </si>
  <si>
    <r>
      <rPr>
        <rFont val="Arial"/>
        <color rgb="FF2D2D2D"/>
        <sz val="8.0"/>
      </rPr>
      <t>NDRA BANK LIMITED/IM</t>
    </r>
  </si>
  <si>
    <r>
      <rPr>
        <rFont val="Arial"/>
        <color rgb="FF2D2D2D"/>
        <sz val="8.0"/>
      </rPr>
      <t>PERIALDINAMICO INNO</t>
    </r>
  </si>
  <si>
    <r>
      <rPr>
        <rFont val="Arial"/>
        <color rgb="FF2D2D2D"/>
        <sz val="8.0"/>
      </rPr>
      <t>VATIONS LLP/UTL 5KW</t>
    </r>
  </si>
  <si>
    <r>
      <rPr>
        <rFont val="Arial"/>
        <color rgb="FF2D2D2D"/>
        <sz val="8.0"/>
      </rPr>
      <t>YESI6536401324</t>
    </r>
  </si>
  <si>
    <r>
      <rPr>
        <rFont val="Arial"/>
        <color rgb="FF2D2D2D"/>
        <sz val="8.0"/>
      </rPr>
      <t>IMPS/NA/XXXX5396/RR</t>
    </r>
  </si>
  <si>
    <t>SC Overheads</t>
  </si>
  <si>
    <r>
      <rPr>
        <rFont val="Arial"/>
        <color rgb="FF2D2D2D"/>
        <sz val="8.0"/>
      </rPr>
      <t>N:536495828599/PC239</t>
    </r>
  </si>
  <si>
    <r>
      <rPr>
        <rFont val="Arial"/>
        <color rgb="FF2D2D2D"/>
        <sz val="8.0"/>
      </rPr>
      <t>1895173434699/STATE</t>
    </r>
  </si>
  <si>
    <r>
      <rPr>
        <rFont val="Arial"/>
        <color rgb="FF2D2D2D"/>
        <sz val="8.0"/>
      </rPr>
      <t>BANK OF INDIA/SAMBH</t>
    </r>
  </si>
  <si>
    <r>
      <rPr>
        <rFont val="Arial"/>
        <color rgb="FF2D2D2D"/>
        <sz val="8.0"/>
      </rPr>
      <t>AJI DILIPRAO CHAVAN/</t>
    </r>
  </si>
  <si>
    <r>
      <rPr>
        <rFont val="Arial"/>
        <color rgb="FF2D2D2D"/>
        <sz val="8.0"/>
      </rPr>
      <t>Travel Expenses Sambha</t>
    </r>
  </si>
  <si>
    <r>
      <rPr>
        <rFont val="Arial"/>
        <color rgb="FF2D2D2D"/>
        <sz val="8.0"/>
      </rPr>
      <t>YESI6536500847</t>
    </r>
  </si>
  <si>
    <r>
      <rPr>
        <rFont val="Arial"/>
        <color rgb="FF2D2D2D"/>
        <sz val="8.0"/>
      </rPr>
      <t>IMPS/NA/XXXX1123/RRN</t>
    </r>
  </si>
  <si>
    <t>Loni Kalbhor bhutada Overheads</t>
  </si>
  <si>
    <r>
      <rPr>
        <rFont val="Arial"/>
        <color rgb="FF2D2D2D"/>
        <sz val="8.0"/>
      </rPr>
      <t>:536596299380/PC23968</t>
    </r>
  </si>
  <si>
    <r>
      <rPr>
        <rFont val="Arial"/>
        <color rgb="FF2D2D2D"/>
        <sz val="8.0"/>
      </rPr>
      <t>36105968910/HDFC BAN</t>
    </r>
  </si>
  <si>
    <r>
      <rPr>
        <rFont val="Arial"/>
        <color rgb="FF2D2D2D"/>
        <sz val="8.0"/>
      </rPr>
      <t>K/Jaideo Prasad Tanti/LO</t>
    </r>
  </si>
  <si>
    <r>
      <rPr>
        <rFont val="Arial"/>
        <color rgb="FF2D2D2D"/>
        <sz val="8.0"/>
      </rPr>
      <t>NI KALBHOR SITE MISC</t>
    </r>
  </si>
  <si>
    <r>
      <rPr>
        <rFont val="Arial"/>
        <color rgb="FF2D2D2D"/>
        <sz val="8.0"/>
      </rPr>
      <t>YESI6536500916</t>
    </r>
  </si>
  <si>
    <r>
      <rPr>
        <rFont val="Arial"/>
        <color rgb="FF2D2D2D"/>
        <sz val="8.0"/>
      </rPr>
      <t>IMPS/NA/XXXX1832/RR</t>
    </r>
  </si>
  <si>
    <r>
      <rPr>
        <rFont val="Arial"/>
        <color rgb="FF2D2D2D"/>
        <sz val="8.0"/>
      </rPr>
      <t>N:536596322273/PC2397</t>
    </r>
  </si>
  <si>
    <r>
      <rPr>
        <rFont val="Arial"/>
        <color rgb="FF2D2D2D"/>
        <sz val="8.0"/>
      </rPr>
      <t>20737141749/HDFC BAN</t>
    </r>
  </si>
  <si>
    <r>
      <rPr>
        <rFont val="Arial"/>
        <color rgb="FF2D2D2D"/>
        <sz val="8.0"/>
      </rPr>
      <t>K/Aravind Kumar Tanti/JP</t>
    </r>
  </si>
  <si>
    <r>
      <rPr>
        <rFont val="Arial"/>
        <color rgb="FF2D2D2D"/>
        <sz val="8.0"/>
      </rPr>
      <t>T CONSULTANCY FEES</t>
    </r>
  </si>
  <si>
    <r>
      <rPr>
        <rFont val="Arial"/>
        <color rgb="FF2D2D2D"/>
        <sz val="8.0"/>
      </rPr>
      <t>YESI6536501487</t>
    </r>
  </si>
  <si>
    <r>
      <rPr>
        <rFont val="Arial"/>
        <color rgb="FF2D2D2D"/>
        <sz val="8.0"/>
      </rPr>
      <t>IMPS/NA/XXXX5951/RRN</t>
    </r>
  </si>
  <si>
    <t>Solar Basket Kisan</t>
  </si>
  <si>
    <r>
      <rPr>
        <rFont val="Arial"/>
        <color rgb="FF2D2D2D"/>
        <sz val="8.0"/>
      </rPr>
      <t>:536596510928/PC23999</t>
    </r>
  </si>
  <si>
    <r>
      <rPr>
        <rFont val="Arial"/>
        <color rgb="FF2D2D2D"/>
        <sz val="8.0"/>
      </rPr>
      <t>10180323509/KOTAK MA</t>
    </r>
  </si>
  <si>
    <r>
      <rPr>
        <rFont val="Arial"/>
        <color rgb="FF2D2D2D"/>
        <sz val="8.0"/>
      </rPr>
      <t>HINDRA BANK LIMITED/</t>
    </r>
  </si>
  <si>
    <r>
      <rPr>
        <rFont val="Arial"/>
        <color rgb="FF2D2D2D"/>
        <sz val="8.0"/>
      </rPr>
      <t>SOLAR BASKET ENGIN</t>
    </r>
  </si>
  <si>
    <r>
      <rPr>
        <rFont val="Arial"/>
        <color rgb="FF2D2D2D"/>
        <sz val="8.0"/>
      </rPr>
      <t>EERING PVT LTD/transf</t>
    </r>
  </si>
  <si>
    <r>
      <rPr>
        <rFont val="Arial"/>
        <color rgb="FF2D2D2D"/>
        <sz val="8.0"/>
      </rPr>
      <t>YESI6600200094</t>
    </r>
  </si>
  <si>
    <r>
      <rPr>
        <rFont val="Arial"/>
        <color rgb="FF2D2D2D"/>
        <sz val="8.0"/>
      </rPr>
      <t>IMPS/NA/XXXX5396/RRN:6</t>
    </r>
  </si>
  <si>
    <r>
      <rPr>
        <rFont val="Arial"/>
        <color rgb="FF2D2D2D"/>
        <sz val="8.0"/>
      </rPr>
      <t>00297296136/PC24083195</t>
    </r>
  </si>
  <si>
    <r>
      <rPr>
        <rFont val="Arial"/>
        <color rgb="FF2D2D2D"/>
        <sz val="8.0"/>
      </rPr>
      <t>0705412/STATE BANK OF</t>
    </r>
  </si>
  <si>
    <r>
      <rPr>
        <rFont val="Arial"/>
        <color rgb="FF2D2D2D"/>
        <sz val="8.0"/>
      </rPr>
      <t>INDIA/SAMBHAJI DILIPRA</t>
    </r>
  </si>
  <si>
    <r>
      <rPr>
        <rFont val="Arial"/>
        <color rgb="FF2D2D2D"/>
        <sz val="8.0"/>
      </rPr>
      <t>O CHAVAN/Salary Sambhaji</t>
    </r>
  </si>
  <si>
    <r>
      <rPr>
        <rFont val="Arial"/>
        <color rgb="FF2D2D2D"/>
        <sz val="8.0"/>
      </rPr>
      <t>NETPC241942241</t>
    </r>
  </si>
  <si>
    <r>
      <rPr>
        <rFont val="Arial"/>
        <color rgb="FF2D2D2D"/>
        <sz val="8.0"/>
      </rPr>
      <t>NET-TPT-OJAS JAYNATH P</t>
    </r>
  </si>
  <si>
    <t>Dinner</t>
  </si>
  <si>
    <r>
      <rPr>
        <rFont val="Arial"/>
        <color rgb="FF2D2D2D"/>
        <sz val="8.0"/>
      </rPr>
      <t>HALKE--123826400000233</t>
    </r>
  </si>
  <si>
    <r>
      <rPr>
        <rFont val="Arial"/>
        <color rgb="FF2D2D2D"/>
        <sz val="8.0"/>
      </rPr>
      <t>YESI6600500323</t>
    </r>
  </si>
  <si>
    <r>
      <rPr>
        <rFont val="Arial"/>
        <color rgb="FF2D2D2D"/>
        <sz val="8.0"/>
      </rPr>
      <t>IMPS/NA/XXXX1343/RRN</t>
    </r>
  </si>
  <si>
    <r>
      <rPr>
        <rFont val="Arial"/>
        <color rgb="FF2D2D2D"/>
        <sz val="8.0"/>
      </rPr>
      <t>:600599313507/PC242853</t>
    </r>
  </si>
  <si>
    <r>
      <rPr>
        <rFont val="Arial"/>
        <color rgb="FF2D2D2D"/>
        <sz val="8.0"/>
      </rPr>
      <t>2111247370/KOTAK MAHI</t>
    </r>
  </si>
  <si>
    <r>
      <rPr>
        <rFont val="Arial"/>
        <color rgb="FF2D2D2D"/>
        <sz val="8.0"/>
      </rPr>
      <t>NDRA BANK LIMITED/Tus</t>
    </r>
  </si>
  <si>
    <r>
      <rPr>
        <rFont val="Arial"/>
        <color rgb="FF2D2D2D"/>
        <sz val="8.0"/>
      </rPr>
      <t>har Popatrao Mane/Salary</t>
    </r>
  </si>
  <si>
    <r>
      <rPr>
        <rFont val="Arial"/>
        <color rgb="FF2D2D2D"/>
        <sz val="8.0"/>
      </rPr>
      <t>YBS6008329142</t>
    </r>
  </si>
  <si>
    <r>
      <rPr>
        <rFont val="Arial"/>
        <color rgb="FF2D2D2D"/>
        <sz val="8.0"/>
      </rPr>
      <t>UPI/600898717025/From</t>
    </r>
  </si>
  <si>
    <t xml:space="preserve">Gaurav Singh 10KW MSEB work </t>
  </si>
  <si>
    <r>
      <rPr>
        <rFont val="Arial"/>
        <color rgb="FF2D2D2D"/>
        <sz val="8.0"/>
      </rPr>
      <t>:9673555303@slc/To:982</t>
    </r>
  </si>
  <si>
    <r>
      <rPr>
        <rFont val="Arial"/>
        <color rgb="FF2D2D2D"/>
        <sz val="8.0"/>
      </rPr>
      <t>3980211@yes/mscb work</t>
    </r>
  </si>
  <si>
    <r>
      <rPr>
        <rFont val="Arial"/>
        <color rgb="FF2D2D2D"/>
        <sz val="8.0"/>
      </rPr>
      <t>YESI6601000214</t>
    </r>
  </si>
  <si>
    <r>
      <rPr>
        <rFont val="Arial"/>
        <color rgb="FF2D2D2D"/>
        <sz val="8.0"/>
      </rPr>
      <t>IMPS/NA/XXXX1031/RR</t>
    </r>
  </si>
  <si>
    <t>5+5KW electrical work of 2 sites</t>
  </si>
  <si>
    <r>
      <rPr>
        <rFont val="Arial"/>
        <color rgb="FF2D2D2D"/>
        <sz val="8.0"/>
      </rPr>
      <t>N:601032836503/PC247</t>
    </r>
  </si>
  <si>
    <r>
      <rPr>
        <rFont val="Arial"/>
        <color rgb="FF2D2D2D"/>
        <sz val="8.0"/>
      </rPr>
      <t>5400139758159/KOTAK</t>
    </r>
  </si>
  <si>
    <r>
      <rPr>
        <rFont val="Arial"/>
        <color rgb="FF2D2D2D"/>
        <sz val="8.0"/>
      </rPr>
      <t>MAHINDRA BANK LIM</t>
    </r>
  </si>
  <si>
    <r>
      <rPr>
        <rFont val="Arial"/>
        <color rgb="FF2D2D2D"/>
        <sz val="8.0"/>
      </rPr>
      <t>ITED/Yogesh Sathe/IFB</t>
    </r>
  </si>
  <si>
    <r>
      <rPr>
        <rFont val="Arial"/>
        <color rgb="FF2D2D2D"/>
        <sz val="8.0"/>
      </rPr>
      <t xml:space="preserve">202601111140057
</t>
    </r>
    <r>
      <rPr>
        <rFont val="Arial"/>
        <color rgb="FF2D2D2D"/>
        <sz val="8.0"/>
      </rPr>
      <t>99291</t>
    </r>
  </si>
  <si>
    <r>
      <rPr>
        <rFont val="Arial"/>
        <color rgb="FF2D2D2D"/>
        <sz val="8.0"/>
      </rPr>
      <t xml:space="preserve">PCA:5301:ZEPZEPT0037 7442:ZEPTO MARKETPL ACE PRIV BENGALORE
</t>
    </r>
    <r>
      <rPr>
        <rFont val="Arial"/>
        <color rgb="FF2D2D2D"/>
        <sz val="8.0"/>
      </rPr>
      <t>IND11-JAN-26 11:40:32</t>
    </r>
  </si>
  <si>
    <r>
      <rPr>
        <rFont val="Arial"/>
        <color rgb="FF2D2D2D"/>
        <sz val="8.0"/>
      </rPr>
      <t>YESI6601100410 7400</t>
    </r>
  </si>
  <si>
    <r>
      <rPr>
        <rFont val="Arial"/>
        <color rgb="FF2D2D2D"/>
        <sz val="8.0"/>
      </rPr>
      <t xml:space="preserve">IMPS/NA/XXXX0972/RRN
</t>
    </r>
    <r>
      <rPr>
        <rFont val="Arial"/>
        <color rgb="FF2D2D2D"/>
        <sz val="8.0"/>
      </rPr>
      <t xml:space="preserve">:601133762872/PC24852 53138475668/HDFC BAN
</t>
    </r>
    <r>
      <rPr>
        <rFont val="Arial"/>
        <color rgb="FF2D2D2D"/>
        <sz val="8.0"/>
      </rPr>
      <t>K/Bharat Uddhavrao Kan gude/Return site Kangude</t>
    </r>
  </si>
  <si>
    <t>Kangude site reimbursment loan</t>
  </si>
  <si>
    <r>
      <rPr>
        <rFont val="Arial"/>
        <color rgb="FF2D2D2D"/>
        <sz val="8.0"/>
      </rPr>
      <t>YBP6011403038 712</t>
    </r>
  </si>
  <si>
    <r>
      <rPr>
        <rFont val="Arial"/>
        <color rgb="FF2D2D2D"/>
        <sz val="8.0"/>
      </rPr>
      <t>IMPS/AMOLRAMESHPA NDE/XXX2707/RRN:601 165744836/AXIS BANK</t>
    </r>
  </si>
  <si>
    <t>Pande site second payment 45%</t>
  </si>
  <si>
    <r>
      <rPr>
        <rFont val="Arial"/>
        <color rgb="FF2D2D2D"/>
        <sz val="8.0"/>
      </rPr>
      <t>CHQ DEP BANK 12-JA N-26 KALYANINAGAR</t>
    </r>
  </si>
  <si>
    <t xml:space="preserve">Shankar torve 5kw </t>
  </si>
  <si>
    <t>202601141854277
15440</t>
  </si>
  <si>
    <t>PCA:5301:470000087
013369:IND*LinkedIn (
PGSI) MUMBAI I
ND14-JAN-26 18:54:28</t>
  </si>
  <si>
    <t>YESI6601500681
7000</t>
  </si>
  <si>
    <t>IMPS/NA/XXXX1376/RRN:6
01536756553/PC252048497
098468/CANARA BANK/Dho
oli Controls/Pande SPV 16kw</t>
  </si>
  <si>
    <t>SPV pande</t>
  </si>
  <si>
    <t>YESI6601500890
0400</t>
  </si>
  <si>
    <t>IMPS/NA/XXXX1959/RRN
:601536834450/PC25215
57167547819/KOTAK MA
HINDRA BANK LIMITED
/IMPERIALDINAMICO IN
NOVATIONS LLP/Pande</t>
  </si>
  <si>
    <t>Inverter Pande</t>
  </si>
  <si>
    <t>YESI6601501431
0200</t>
  </si>
  <si>
    <t>IMPS/NA/XXXX1343/RRN:
601537037990/PC2523818
99825830/KOTAK MAHIND
RA BANK LIMITED/Tushar
Popatrao Mane/Allowance</t>
  </si>
  <si>
    <t>TM Allowance</t>
  </si>
  <si>
    <t>17/01/2026</t>
  </si>
  <si>
    <t xml:space="preserve">YESI66017013579700                      </t>
  </si>
  <si>
    <t>IMPS/NA/XXXX1031/RRN:601738437897/PC254005910921826/KOTAK MAHINDRA BANK LIMITED/Yogesh Sathe/Pande 16kw mahatma labour a</t>
  </si>
  <si>
    <t>10,000.00</t>
  </si>
  <si>
    <t>Pande Site electrical installation advance</t>
  </si>
  <si>
    <t>18/01/2026</t>
  </si>
  <si>
    <t xml:space="preserve">YESI66018007427600                      </t>
  </si>
  <si>
    <t>IMPS/NA/XXXX8029/RRN:601838778889/PC2542651248460015/AU SMALL FINANCE BANK LIMITED/Ojas Jaynath Phalke/food</t>
  </si>
  <si>
    <t>2,600.00</t>
  </si>
  <si>
    <t xml:space="preserve">REVYBP6018408704249                     </t>
  </si>
  <si>
    <t>IMPS/NA/XXX8029/REV/RRN:601838778889/PC2542651248460015/AU SMALL FINANCE BANK LIMITED/Ojas Jaynath Phalke/food</t>
  </si>
  <si>
    <t xml:space="preserve">NETPC2542658127336625                   </t>
  </si>
  <si>
    <t>NET-TPT-OJAS JAYNATH PHALKE-food-123826400000233</t>
  </si>
  <si>
    <t>25/01/2026</t>
  </si>
  <si>
    <t xml:space="preserve">YBS6025492398132                        </t>
  </si>
  <si>
    <t>UPI/639171290019/From:adityapower72@okaxis/To:9823980211@yes/UPI</t>
  </si>
  <si>
    <t>50,000.00</t>
  </si>
  <si>
    <t>Suryachiwadi Advance</t>
  </si>
  <si>
    <t>26/01/2026</t>
  </si>
  <si>
    <t xml:space="preserve">YBS6026507365510                        </t>
  </si>
  <si>
    <t>UPI/639252933926/From:adityapower72@okaxis/To:9823980211@yes/UPI</t>
  </si>
  <si>
    <t>27/01/2026</t>
  </si>
  <si>
    <t xml:space="preserve">YESI66027004445200                      </t>
  </si>
  <si>
    <t>IMPS/NA/XXXX1959/RRN:602744404303/PC2610995232929396/KOTAK MAHINDRA BANK LIMITED/IMPERIALDINAMICO INNOVATIONS LLP/3KW SP</t>
  </si>
  <si>
    <t>157,764.00</t>
  </si>
  <si>
    <t>Suryachiwadi Hybrid Inv Battery and SPV purchase</t>
  </si>
  <si>
    <t>000000547654</t>
  </si>
  <si>
    <t>CHQ DEP CAN 27-JAN-26 PUNE  AUNDH</t>
  </si>
  <si>
    <t>25,000.00</t>
  </si>
  <si>
    <t>Kalwad church Final payment</t>
  </si>
  <si>
    <t xml:space="preserve">YESI66027016092300                      </t>
  </si>
  <si>
    <t>IMPS/NA/XXXX1123/RRN:602744858999/PC2619646232351953/HDFC BANK/Jaideo Prasad Tanti/Transportation</t>
  </si>
  <si>
    <t>4,127.00</t>
  </si>
  <si>
    <t>28/01/2026</t>
  </si>
  <si>
    <t xml:space="preserve">NETPC2627136206806030                   </t>
  </si>
  <si>
    <t>NET-TPT-OJAS JAYNATH PHALKE-IFB-123826400000233</t>
  </si>
  <si>
    <t>5,000.00</t>
  </si>
  <si>
    <t xml:space="preserve">YESI66028013849300                      </t>
  </si>
  <si>
    <t>IMPS/NA/XXXX7249/RRN:602845483884/PC262959215471251/HDFC BANK/Konnark Earthing Solutions Pvt Ltd/Suryachiwadi Earthing m</t>
  </si>
  <si>
    <t>4,307.00</t>
  </si>
  <si>
    <t>Earthing Suryachiwadi</t>
  </si>
  <si>
    <t xml:space="preserve">YESI66028013884800                      </t>
  </si>
  <si>
    <t>IMPS/NA/XXXX7249/RRN:602845488395/PC2629616182643587/HDFC BANK/Konnark Earthing Solutions Pvt Ltd/Wakad earthing</t>
  </si>
  <si>
    <t>3,068.00</t>
  </si>
  <si>
    <t>Wakad Gupta electrical</t>
  </si>
  <si>
    <t xml:space="preserve">YESI66028013907600                      </t>
  </si>
  <si>
    <t>IMPS/NA/XXXX5494/RRN:602845489676/PC2629634125999038/HDFC BANK/Sanskruti Electric Com/Suryachiwadi electrical material</t>
  </si>
  <si>
    <t>8,961.00</t>
  </si>
  <si>
    <t>Suryachiwadi electrical material</t>
  </si>
  <si>
    <t>31/01/2026</t>
  </si>
  <si>
    <t xml:space="preserve">YESI66031001219100                      </t>
  </si>
  <si>
    <t>IMPS/NA/XXXX1123/RRN:603147108279/PC2671468156062584/HDFC BANK/Jaideo Prasad Tanti/Overheads</t>
  </si>
  <si>
    <t>JPT allowance for site overheads</t>
  </si>
  <si>
    <t xml:space="preserve">YESI66031001229700                      </t>
  </si>
  <si>
    <t>IMPS/NA/XXXX0904/RRN:603147108730/PC267147283513224/HDFC BANK/CURIOUSINFYY MEDIA LLP/Advance kisan video</t>
  </si>
  <si>
    <t>10,620.00</t>
  </si>
  <si>
    <t>Kisan video advance</t>
  </si>
  <si>
    <t>01/02/2026</t>
  </si>
  <si>
    <t xml:space="preserve">20260201205817439014                    </t>
  </si>
  <si>
    <t>PCA:5301:99114268:IBIBO GROUP PRIVATE LI GURGAON       IND01-FEB-26 20:58:18</t>
  </si>
  <si>
    <t>15,484.00</t>
  </si>
  <si>
    <t>Flight to chennai</t>
  </si>
  <si>
    <t>03/02/2026</t>
  </si>
  <si>
    <t xml:space="preserve">YESI66034006140300                      </t>
  </si>
  <si>
    <t>IMPS/NA/XXXX5396/RRN:603449464527/PC2698697263509883/STATE BANK OF INDIA/SAMBHAJI DILIPRAO CHAVAN/IFB</t>
  </si>
  <si>
    <t>05/02/2026</t>
  </si>
  <si>
    <t xml:space="preserve">YES0N6036996807500                      </t>
  </si>
  <si>
    <t>NEFT Cr-MAHB0000447-DATE ENGINEERING INDIA PR-rolling energy Opc privat-MAHBH00540535489</t>
  </si>
  <si>
    <t>32,588.00</t>
  </si>
  <si>
    <t>Date engineering final payment</t>
  </si>
  <si>
    <t xml:space="preserve">NETPC272389285828943                    </t>
  </si>
  <si>
    <t>NET-TPT-OJAS JAYNATH PHALKE-google workspace-123826400000233</t>
  </si>
  <si>
    <t>4,400.00</t>
  </si>
  <si>
    <t>06/02/2026</t>
  </si>
  <si>
    <t>000000586422</t>
  </si>
  <si>
    <t>CHQ DEP INB 06-FEB-26 BANER</t>
  </si>
  <si>
    <t>75,000.00</t>
  </si>
  <si>
    <t>Rafir Madar sheikh Advance(canceled)</t>
  </si>
  <si>
    <t>000000941062</t>
  </si>
  <si>
    <t>Rafir Madar sheikh Advance (Canceled)</t>
  </si>
  <si>
    <t xml:space="preserve">YESI66037009463400                      </t>
  </si>
  <si>
    <t>IMPS/NA/XXXX1343/RRN:603752012330/PC2732413186417290/KOTAK MAHINDRA BANK LIMITED/Tushar Popatrao Mane/Salary</t>
  </si>
  <si>
    <t>100,000.00</t>
  </si>
  <si>
    <t>Tushar Mane salary</t>
  </si>
  <si>
    <t>08/02/2026</t>
  </si>
  <si>
    <t xml:space="preserve">NETPC274894092247992                    </t>
  </si>
  <si>
    <t>1,500.00</t>
  </si>
  <si>
    <t>09/02/2026</t>
  </si>
  <si>
    <t xml:space="preserve">YBS6040631353849                        </t>
  </si>
  <si>
    <t>UPI/604046239866/From:diliptamhane1957@oksbi/To:041263400006460@yesb0000412.ifsc.npci/UPI</t>
  </si>
  <si>
    <t>100.00</t>
  </si>
  <si>
    <t>Trial Payment Tamhane</t>
  </si>
  <si>
    <t>10/02/2026</t>
  </si>
  <si>
    <t xml:space="preserve">YBP6041428494450                        </t>
  </si>
  <si>
    <t>IMPS/SONAL DEVENDRA DESHMUKH/XXX0360/RRN:604112907031/</t>
  </si>
  <si>
    <t>200,000.00</t>
  </si>
  <si>
    <t>Mandede Advance</t>
  </si>
  <si>
    <t xml:space="preserve">YESI66041004773100                      </t>
  </si>
  <si>
    <t>IMPS/NA/XXXX1959/RRN:604154525078/PC276587425368226/KOTAK MAHINDRA BANK LIMITED/IMPERIALDINAMICO INNOVATIONS LLP/Advance</t>
  </si>
  <si>
    <t>150,000.00</t>
  </si>
  <si>
    <t>Mandede SPV hybrid inverter and battery partial payment</t>
  </si>
  <si>
    <t xml:space="preserve">YESI66041007004200                      </t>
  </si>
  <si>
    <t>IMPS/NA/XXXX1117/RRN:604154626822/PC2767623248879789/INDIAN BANK/Rafik Madar shaikh/Refund</t>
  </si>
  <si>
    <t>refund of Rafir Madar sheikh Advance (canceled)</t>
  </si>
  <si>
    <t xml:space="preserve">YESI66041007016500                      </t>
  </si>
  <si>
    <t>IMPS/NA/XXXX4796/RRN:604154627973/PC2767640116547725/INDIAN BANK/Sumira Rafik Shaikh/Refund</t>
  </si>
  <si>
    <t xml:space="preserve">20260210222841553296                    </t>
  </si>
  <si>
    <t>PCA:5301:89054836:IBIBO GROUP PVT LTD    GURGAON       IND10-FEB-26 22:28:42</t>
  </si>
  <si>
    <t>3,608.00</t>
  </si>
  <si>
    <t>Hotel chennai</t>
  </si>
  <si>
    <t>12/02/2026</t>
  </si>
  <si>
    <t xml:space="preserve">NETPC2792601218804591                   </t>
  </si>
  <si>
    <t>NET-TPT-OJAS JAYNATH PHALKE-Chennai expenses-123826400000233</t>
  </si>
  <si>
    <t>Chennai overheads</t>
  </si>
  <si>
    <t>14/02/2026</t>
  </si>
  <si>
    <t xml:space="preserve">20260214185431004813                    </t>
  </si>
  <si>
    <t>PCA:5301:470000087013369:IND*LinkedIn (PGSI)    MUMBAI        IND14-FEB-26 18:54:33</t>
  </si>
  <si>
    <t>1,270.55</t>
  </si>
  <si>
    <t>16/02/2026</t>
  </si>
  <si>
    <t xml:space="preserve">YESI66047003187200                      </t>
  </si>
  <si>
    <t>IMPS/NA/XXXX9542/RRN:604758490792/PC281890096925211/KOTAK MAHINDRA BANK LIMITED/Avanish Deshmukh/Canva</t>
  </si>
  <si>
    <t>6,500.00</t>
  </si>
  <si>
    <t>Canva pro</t>
  </si>
  <si>
    <t xml:space="preserve">YESI66047008762400                      </t>
  </si>
  <si>
    <t>IMPS/NA/XXXX7165/RRN:604758749910/PC28232594786856/UNION BANK OF INDIA/Kraman Earthing Solutions/IFB</t>
  </si>
  <si>
    <t>10,313.00</t>
  </si>
  <si>
    <t>Electrical and Earthing Amravati</t>
  </si>
  <si>
    <t>17/02/2026</t>
  </si>
  <si>
    <t xml:space="preserve">YESI66048002708700                      </t>
  </si>
  <si>
    <t>IMPS/NA/XXXX1959/RRN:604859145634/PC282776850970439/KOTAK MAHINDRA BANK LIMITED/IMPERIALDINAMICO INNOVATIONS LLP/Amravat</t>
  </si>
  <si>
    <t>25,300.00</t>
  </si>
  <si>
    <t>Inverter amravati</t>
  </si>
  <si>
    <t>18/02/2026</t>
  </si>
  <si>
    <t xml:space="preserve">YES0N6049255982700                      </t>
  </si>
  <si>
    <t>NEFT Cr-PUNB0520410-RTGS  INTERBANK ACCOUNT-ROLLING ENERGY PVT LTD-PUNBH70063660435</t>
  </si>
  <si>
    <t>66,000.00</t>
  </si>
  <si>
    <t>Baramati vendor loan</t>
  </si>
  <si>
    <t>19/02/2026</t>
  </si>
  <si>
    <t xml:space="preserve">YBS6050712894193                        </t>
  </si>
  <si>
    <t>UPI/605045865581/From:devendra.deshmukh@okicici/To:9823980211@yes/UPI</t>
  </si>
  <si>
    <t>63,366.00</t>
  </si>
  <si>
    <t>Amravati Advance</t>
  </si>
  <si>
    <t>20/02/2026</t>
  </si>
  <si>
    <t>000000817189</t>
  </si>
  <si>
    <t>CHQ DEP SBI 20-FEB-26 PUNE  VIMAN NAGAR</t>
  </si>
  <si>
    <t>74,224.00</t>
  </si>
  <si>
    <t>Tamhane Advance</t>
  </si>
  <si>
    <t xml:space="preserve">YESI66051009087200                      </t>
  </si>
  <si>
    <t>IMPS/NA/XXXX9542/RRN:605161587043/PC2861953124320680/KOTAK MAHINDRA BANK LIMITED/Avanish Deshmukh/Pune to Amravati Trave</t>
  </si>
  <si>
    <t>1,782.00</t>
  </si>
  <si>
    <t>Team Travel Pune to Amravati</t>
  </si>
  <si>
    <t xml:space="preserve">YESI66051009361000                      </t>
  </si>
  <si>
    <t>IMPS/NA/XXXX9542/RRN:605161602525/PC2862092219692942/KOTAK MAHINDRA BANK LIMITED/Avanish Deshmukh/GST delay fee</t>
  </si>
  <si>
    <t>1,154.00</t>
  </si>
  <si>
    <t>GST delay penalty</t>
  </si>
  <si>
    <t>22/02/2026</t>
  </si>
  <si>
    <t xml:space="preserve">20260222234204843469                    </t>
  </si>
  <si>
    <t>PCA:5301:MAKEMYTR9875011:MAKEMYTRIP INDIA PVT L NEW DELHI     IND22-FEB-26 23:42:05</t>
  </si>
  <si>
    <t>1,994.00</t>
  </si>
  <si>
    <t>Hotel for Team in Amravati</t>
  </si>
  <si>
    <t>23/02/2026</t>
  </si>
  <si>
    <t xml:space="preserve">YBS6054747519124                        </t>
  </si>
  <si>
    <t>UPI/119038985064/From:devendra.deshmukh@okhdfcbank/To:9823980211@yes/UPI</t>
  </si>
  <si>
    <t xml:space="preserve">YESI66054005783200                      </t>
  </si>
  <si>
    <t>IMPS/NA/XXXX0095/RRN:605463407174/PC2883647270048224/INDIAN OVERSEAS BANK/Ramswaroop and brothers/Amravati Fab Material</t>
  </si>
  <si>
    <t>24,335.00</t>
  </si>
  <si>
    <t>Fabrication Material Amravati</t>
  </si>
  <si>
    <t xml:space="preserve">YESI66054005979000                      </t>
  </si>
  <si>
    <t>IMPS/NA/XXXX5396/RRN:605463418366/PC2884096210662747/STATE BANK OF INDIA/SAMBHAJI DILIPRAO CHAVAN/Amravati hardware</t>
  </si>
  <si>
    <t>1,170.00</t>
  </si>
  <si>
    <t>Hardware material for Amravati</t>
  </si>
  <si>
    <t xml:space="preserve">YESI66054006682300                      </t>
  </si>
  <si>
    <t>IMPS/NA/XXXX1343/RRN:605463462502/PC2884618234908483/KOTAK MAHINDRA BANK LIMITED/Tushar Popatrao Mane/Baramti Vebdor Dis</t>
  </si>
  <si>
    <t>baramati loan disbursement</t>
  </si>
  <si>
    <t xml:space="preserve">YESI66054006852400                      </t>
  </si>
  <si>
    <t>IMPS/NA/XXXX9542/RRN:605463472535/PC2884815171125712/KOTAK MAHINDRA BANK LIMITED/Avanish Deshmukh/Fab transport Amravati</t>
  </si>
  <si>
    <t>600.00</t>
  </si>
  <si>
    <t>Fabrication material transport amravati</t>
  </si>
  <si>
    <t xml:space="preserve">YESI66054009791300                      </t>
  </si>
  <si>
    <t>IMPS/NA/XXXX9542/RRN:605463632265/PC2886969126862714/KOTAK MAHINDRA BANK LIMITED/Avanish Deshmukh/Amravati Overheads</t>
  </si>
  <si>
    <t>Amravati Project overheads</t>
  </si>
  <si>
    <t>24/02/2026</t>
  </si>
  <si>
    <t xml:space="preserve">YESI66055003472700                      </t>
  </si>
  <si>
    <t>IMPS/NA/XXXX9505/RRN:605564055220/PC289190336978301/CENTRAL BANK OF INDIA/Vakratunda Electrical and solar ser/Solar Pane</t>
  </si>
  <si>
    <t>125,742.00</t>
  </si>
  <si>
    <t>Solar Panels Amravati</t>
  </si>
  <si>
    <t xml:space="preserve">YBS6055756714428                        </t>
  </si>
  <si>
    <t>UPI/605541637504/From:devendra.deshmukh@okicici/To:9823980211@yes/UPI</t>
  </si>
  <si>
    <t>Amravati 3rd payment</t>
  </si>
  <si>
    <t xml:space="preserve">YESI66055010519300                      </t>
  </si>
  <si>
    <t>IMPS/NA/XXXX9542/RRN:605564419760/PC289785698869898/KOTAK MAHINDRA BANK LIMITED/Avanish Deshmukh/Fab Amravati Labour</t>
  </si>
  <si>
    <t>5,700.00</t>
  </si>
  <si>
    <t>Fabrication Labour Amravati</t>
  </si>
  <si>
    <t xml:space="preserve">YESI66055012319700                      </t>
  </si>
  <si>
    <t>IMPS/NA/XXXX9542/RRN:605564501526/PC2898857165736643/KOTAK MAHINDRA BANK LIMITED/Avanish Deshmukh/Amravti to Pune Bus</t>
  </si>
  <si>
    <t>2,306.00</t>
  </si>
  <si>
    <t>Amravati to Pune Bus Team</t>
  </si>
  <si>
    <t>27/02/2026</t>
  </si>
  <si>
    <t xml:space="preserve">YBS6058778184150                        </t>
  </si>
  <si>
    <t>UPI/605887522244/From:devendra.deshmukh@okicici/To:9823980211@yes/UPI</t>
  </si>
  <si>
    <t>94,342.00</t>
  </si>
  <si>
    <t>Amravati 4th Payment</t>
  </si>
  <si>
    <t xml:space="preserve">YES0R6058642766400                      </t>
  </si>
  <si>
    <t>RTGS Cr-KKBK0000958-SONAL DEVENDRA DESHMUKH-ROLLING ENERGY OPC PRIVAT-KKBKR52026022700654530</t>
  </si>
  <si>
    <t>690,000.00</t>
  </si>
  <si>
    <t>Mandede 2nd Advance</t>
  </si>
  <si>
    <t xml:space="preserve">YESI66058011913100                      </t>
  </si>
  <si>
    <t>IMPS/NA/XXXX1959/RRN:605866640919/PC292832736957498/KOTAK MAHINDRA BANK LIMITED/IMPERIALDINAMICO INNOVATIONS LLP/Mandede</t>
  </si>
  <si>
    <t>485,000.00</t>
  </si>
  <si>
    <t>2nd Payment for material Mandede</t>
  </si>
  <si>
    <t xml:space="preserve">YESI66058012213700                      </t>
  </si>
  <si>
    <t>IMPS/NA/XXXX1959/RRN:605866655711/PC2928522161016985/KOTAK MAHINDRA BANK LIMITED/IMPERIALDINAMICO INNOVATIONS LLP/Manded</t>
  </si>
  <si>
    <t>3rd payment for material Mandede</t>
  </si>
  <si>
    <t xml:space="preserve">20260227201604320228                    </t>
  </si>
  <si>
    <t>PCA:5301:ETERNA256RPCYBS:Zomato Online Order    Gurgaon       IND27-FEB-26 20:16:05</t>
  </si>
  <si>
    <t>167.00</t>
  </si>
  <si>
    <t xml:space="preserve">20260227201941320737                    </t>
  </si>
  <si>
    <t>PCA:5301:ZEPTOM960CYBSPP:Zepto                  Bangalore     IND27-FEB-26 20:19:41</t>
  </si>
  <si>
    <t>162.00</t>
  </si>
  <si>
    <t>food</t>
  </si>
  <si>
    <t>28/02/2026</t>
  </si>
  <si>
    <t xml:space="preserve">YESI66059000069100                      </t>
  </si>
  <si>
    <t>IMPS/NA/XXXX9542/RRN:605966794478/PC2930187216165074/KOTAK MAHINDRA BANK LIMITED/Avanish Deshmukh/food</t>
  </si>
  <si>
    <t>1,600.00</t>
  </si>
  <si>
    <t xml:space="preserve">YESI66059004970500                      </t>
  </si>
  <si>
    <t>IMPS/NA/XXXX9542/RRN:605967046863/PC2932577250361239/KOTAK MAHINDRA BANK LIMITED/Avanish Deshmukh/Mandede transport</t>
  </si>
  <si>
    <t>6,000.00</t>
  </si>
  <si>
    <t>Mandede Material Transport</t>
  </si>
  <si>
    <t xml:space="preserve">YESI66059015053300                      </t>
  </si>
  <si>
    <t>IMPS/NA/XXXX9542/RRN:605967552012/PC2939072255446977/KOTAK MAHINDRA BANK LIMITED/Avanish Deshmukh/Amravati Electrical</t>
  </si>
  <si>
    <t>Amravati electrical installation</t>
  </si>
  <si>
    <t>01/03/2026</t>
  </si>
  <si>
    <t xml:space="preserve">NETPC2943671216775380                   </t>
  </si>
  <si>
    <t>2,000.00</t>
  </si>
  <si>
    <t>02/03/2026</t>
  </si>
  <si>
    <t xml:space="preserve">YESI66061003423100                      </t>
  </si>
  <si>
    <t>IMPS/NA/XXXX5396/RRN:606168474360/PC2946513178349288/STATE BANK OF INDIA/SAMBHAJI DILIPRAO CHAVAN/Salary</t>
  </si>
  <si>
    <t xml:space="preserve">YESI66061003977500                      </t>
  </si>
  <si>
    <t>IMPS/NA/XXXX1343/RRN:606168492427/PC294678050768653/KOTAK MAHINDRA BANK LIMITED/Tushar Popatrao Mane/Salary</t>
  </si>
  <si>
    <t>TM salry</t>
  </si>
  <si>
    <t xml:space="preserve">YESI66061008367400                      </t>
  </si>
  <si>
    <t>IMPS/NA/XXXX1959/RRN:606168681552/PC2949747110504424/KOTAK MAHINDRA BANK LIMITED/IMPERIALDINAMICO INNOVATIONS LLP/Balanc</t>
  </si>
  <si>
    <t>2,436.00</t>
  </si>
  <si>
    <t>4th payment of materials for Mandede</t>
  </si>
  <si>
    <t>000000003750</t>
  </si>
  <si>
    <t>REFUND:260301:IBIBO GROUP PRIVATE L\19TH</t>
  </si>
  <si>
    <t>5,880.00</t>
  </si>
  <si>
    <t>Flight Refund</t>
  </si>
  <si>
    <t xml:space="preserve">YESI66061017745200                      </t>
  </si>
  <si>
    <t>IMPS/NA/XXXX8255/RRN:606169056997/PC2955321222527590/PUNJAB NATIONAL BANK/Abhimanyue Prasad Tanti/Consultancy fees</t>
  </si>
  <si>
    <t>JPT consultancy</t>
  </si>
  <si>
    <t xml:space="preserve">20260302085822699220                    </t>
  </si>
  <si>
    <t>PCA:5301:MZJ96QO0A3SN4BD:CURSOR, AI POWERED IDE NEW YORK      USA02-MAR-26 22:28:23</t>
  </si>
  <si>
    <t>1,890.67</t>
  </si>
  <si>
    <t>Cursor AI</t>
  </si>
  <si>
    <t>03/03/2026</t>
  </si>
  <si>
    <t xml:space="preserve">YESI66062005996000                      </t>
  </si>
  <si>
    <t>IMPS/NA/XXXX9542/RRN:606269507622/PC295943946513427/KOTAK MAHINDRA BANK LIMITED/Avanish Deshmukh/IFB</t>
  </si>
  <si>
    <t>04/03/2026</t>
  </si>
  <si>
    <t xml:space="preserve">YESI66063003285100                      </t>
  </si>
  <si>
    <t>IMPS/NA/XXXX3440/RRN:606370134573/PC2966076268439608/STATE BANK OF INDIA/Keshav M Khopade/Tamhane 3KW Fab</t>
  </si>
  <si>
    <t>13,452.00</t>
  </si>
  <si>
    <t>Tamhane Fabrication Material</t>
  </si>
  <si>
    <t xml:space="preserve">YESI66063007412700                      </t>
  </si>
  <si>
    <t>IMPS/NA/XXXX9542/RRN:606370330724/PC2968499271265858/KOTAK MAHINDRA BANK LIMITED/Avanish Deshmukh/CCD meeting Rohit</t>
  </si>
  <si>
    <t>700.00</t>
  </si>
  <si>
    <t>000000003790</t>
  </si>
  <si>
    <t>REFUND:260302:IBIBO GROUP PRIVATE L\19TH</t>
  </si>
  <si>
    <t>8,146.00</t>
  </si>
  <si>
    <t>Refund Flight</t>
  </si>
  <si>
    <t xml:space="preserve">YESI66063009610700                      </t>
  </si>
  <si>
    <t>IMPS/NA/XXXX9542/RRN:606370436365/PC2969605113208212/KOTAK MAHINDRA BANK LIMITED/Avanish Deshmukh/food</t>
  </si>
  <si>
    <t>05/03/2026</t>
  </si>
  <si>
    <t xml:space="preserve">YESI66064005847000                      </t>
  </si>
  <si>
    <t>IMPS/NA/XXXX1343/RRN:606470835100/PC297421041632648/KOTAK MAHINDRA BANK LIMITED/Tushar Popatrao Mane/Singh mseb</t>
  </si>
  <si>
    <t>Gaurav singh site 10KW Mseb work</t>
  </si>
  <si>
    <t>07/03/2026</t>
  </si>
  <si>
    <t xml:space="preserve">NETPC299822089666039                    </t>
  </si>
  <si>
    <t>1,000.00</t>
  </si>
  <si>
    <t>08/03/2026</t>
  </si>
  <si>
    <t xml:space="preserve">YESI66067005033500                      </t>
  </si>
  <si>
    <t>IMPS/NA/XXXX7384/RRN:606773242287/PC3005229248901079/BANK OF MAHARASHTRA/Magnum Enterprises/Fabrication 3KW trial</t>
  </si>
  <si>
    <t>19,824.00</t>
  </si>
  <si>
    <t>3KW fabrication trial works</t>
  </si>
  <si>
    <t xml:space="preserve">YBS6067859364767                        </t>
  </si>
  <si>
    <t>UPI/643371169276/From:mkjawalkar-5@okaxis/To:9823980211@yes/UPI</t>
  </si>
  <si>
    <t>Loni Kalbhor Final Payment</t>
  </si>
  <si>
    <t>09/03/2026</t>
  </si>
  <si>
    <t xml:space="preserve">10004086120260309009200000028           </t>
  </si>
  <si>
    <t>CASH DEP-THIRD PARTY-CASH DEP_SAMBHAJI -AUNDH</t>
  </si>
  <si>
    <t>27,000.00</t>
  </si>
  <si>
    <t>Tamhane 2nd Payment</t>
  </si>
  <si>
    <t xml:space="preserve">YES0N6068125962800                      </t>
  </si>
  <si>
    <t>NEFT Cr-SBIN0002178-HARSHADA RAVINDRA  KADAM-ROLLING ENERGY PRIVATE LI-SBIN326068334074</t>
  </si>
  <si>
    <t>138,000.00</t>
  </si>
  <si>
    <t>Baramti site loan</t>
  </si>
  <si>
    <t>10/03/2026</t>
  </si>
  <si>
    <t xml:space="preserve">YESI66069001258600                      </t>
  </si>
  <si>
    <t>IMPS/NA/XXXX1959/RRN:606974381761/PC3017967228843061/KOTAK MAHINDRA BANK LIMITED/IMPERIALDINAMICO INNOVATIONS LLP/Tamhan</t>
  </si>
  <si>
    <t>132,899.00</t>
  </si>
  <si>
    <t>Tamhane Inverter and Panel</t>
  </si>
  <si>
    <t xml:space="preserve">YESI66069008713800                      </t>
  </si>
  <si>
    <t>IMPS/NA/XXXX1123/RRN:606974739239/PC3024354215723146/HDFC BANK/Jaideo Prasad Tanti/IFB</t>
  </si>
  <si>
    <t>JPT Allowance site overheads</t>
  </si>
  <si>
    <t>000000604401</t>
  </si>
  <si>
    <t>CHQ DEP SBI 10-MAR-26 PUNE  AUNDH</t>
  </si>
  <si>
    <t>100,413.00</t>
  </si>
  <si>
    <t>Tamhane 3rd Payment</t>
  </si>
  <si>
    <t>12/03/2026</t>
  </si>
  <si>
    <t xml:space="preserve">20260312190910846152                    </t>
  </si>
  <si>
    <t>PCA:5301:TR11LADDMPGS:PAYTM TRAVEL           NOIDA         IND12-MAR-26 19:09:11</t>
  </si>
  <si>
    <t>7,543.00</t>
  </si>
  <si>
    <t>Flight Piyush</t>
  </si>
  <si>
    <t xml:space="preserve">YESI66071011059600                      </t>
  </si>
  <si>
    <t>IMPS/NA/XXXX1343/RRN:607176952767/PC3049140104333649/KOTAK MAHINDRA BANK LIMITED/Tushar Popatrao Mane/IFB</t>
  </si>
  <si>
    <t>4,000.00</t>
  </si>
  <si>
    <t xml:space="preserve">Gaurav Singh Mseb </t>
  </si>
  <si>
    <t xml:space="preserve">YESI66071011099500                      </t>
  </si>
  <si>
    <t>IMPS/NA/XXXX7165/RRN:607176957924/PC3049189101982800/UNION BANK OF INDIA/Kraman Earthing Solutions/Mandede and Tamhane E</t>
  </si>
  <si>
    <t>34,586.00</t>
  </si>
  <si>
    <t>Earthing Mandede+Tamhane</t>
  </si>
  <si>
    <t>13/03/2026</t>
  </si>
  <si>
    <t xml:space="preserve">20260313173500947967                    </t>
  </si>
  <si>
    <t>PCA:5301:AGODAPYTMADDCYB:Agoda Company PTE LTD  Mumbai        IND13-MAR-26 17:35:01</t>
  </si>
  <si>
    <t>2,636.00</t>
  </si>
  <si>
    <t>Hotel Piyush</t>
  </si>
  <si>
    <t xml:space="preserve">20260313180751953066                    </t>
  </si>
  <si>
    <t>PCA:5301:ZEPTO909NPLCYBS:ZEPTO MARKETPLACE PRIV Bangalore     IND13-MAR-26 18:07:52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</si>
</sst>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-mmm-yyyy"/>
    <numFmt numFmtId="165" formatCode="d-mmm-yyyy"/>
    <numFmt numFmtId="166" formatCode="000000000000"/>
    <numFmt numFmtId="167" formatCode="yyyy-mm-dd"/>
    <numFmt numFmtId="168" formatCode="0000"/>
    <numFmt numFmtId="169" formatCode="000"/>
    <numFmt numFmtId="170" formatCode="00000"/>
  </numFmts>
  <fonts count="18">
    <font>
      <sz val="10.0"/>
      <color rgb="FF000000"/>
      <name val="Arial"/>
      <scheme val="minor"/>
    </font>
    <font>
      <sz val="7.0"/>
      <color theme="1"/>
      <name val="Arial Black"/>
    </font>
    <font>
      <b/>
      <color theme="1"/>
      <name val="Arial"/>
      <scheme val="minor"/>
    </font>
    <font>
      <sz val="7.0"/>
      <color theme="1"/>
      <name val="Lucida Sans"/>
    </font>
    <font>
      <color theme="1"/>
      <name val="Times New Roman"/>
    </font>
    <font>
      <color theme="1"/>
      <name val="Arial"/>
      <scheme val="minor"/>
    </font>
    <font>
      <sz val="10.0"/>
      <color theme="1"/>
      <name val="Calibri"/>
    </font>
    <font>
      <sz val="11.0"/>
      <color theme="1"/>
      <name val="Calibri"/>
    </font>
    <font>
      <u/>
      <sz val="7.0"/>
      <color rgb="FF0000FF"/>
      <name val="Lucida Sans"/>
    </font>
    <font>
      <u/>
      <color rgb="FF0000FF"/>
      <name val="Times New Roman"/>
    </font>
    <font>
      <sz val="7.0"/>
      <color rgb="FF000000"/>
      <name val="Lucida Sans"/>
    </font>
    <font>
      <sz val="10.0"/>
      <color rgb="FF000000"/>
      <name val="Times New Roman"/>
    </font>
    <font>
      <u/>
      <sz val="7.0"/>
      <color rgb="FF0000FF"/>
      <name val="Lucida Sans"/>
    </font>
    <font>
      <u/>
      <sz val="10.0"/>
      <color rgb="FF000000"/>
      <name val="Times New Roman"/>
    </font>
    <font>
      <sz val="8.0"/>
      <color rgb="FF2D2D2D"/>
      <name val="Arial"/>
    </font>
    <font>
      <sz val="8.0"/>
      <color theme="1"/>
      <name val="Arial"/>
    </font>
    <font/>
    <font>
      <sz val="8.0"/>
      <color rgb="FF2D2D2D"/>
      <name val="'Helvetica'"/>
    </font>
  </fonts>
  <fills count="4">
    <fill>
      <patternFill patternType="none"/>
    </fill>
    <fill>
      <patternFill patternType="lightGray"/>
    </fill>
    <fill>
      <patternFill patternType="solid">
        <fgColor rgb="FFC6EAFA"/>
        <bgColor rgb="FFC6EAFA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ont="1">
      <alignment horizontal="right" shrinkToFit="0" vertical="top" wrapText="1"/>
    </xf>
    <xf borderId="0" fillId="2" fontId="2" numFmtId="0" xfId="0" applyAlignment="1" applyFont="1">
      <alignment readingOrder="0"/>
    </xf>
    <xf borderId="1" fillId="3" fontId="3" numFmtId="164" xfId="0" applyAlignment="1" applyBorder="1" applyFill="1" applyFont="1" applyNumberFormat="1">
      <alignment horizontal="left" shrinkToFit="0" vertical="top" wrapText="1"/>
    </xf>
    <xf borderId="1" fillId="3" fontId="3" numFmtId="1" xfId="0" applyAlignment="1" applyBorder="1" applyFont="1" applyNumberFormat="1">
      <alignment horizontal="left" shrinkToFit="0" vertical="top" wrapText="1"/>
    </xf>
    <xf borderId="1" fillId="3" fontId="4" numFmtId="0" xfId="0" applyAlignment="1" applyBorder="1" applyFont="1">
      <alignment horizontal="left" shrinkToFit="0" vertical="top" wrapText="1"/>
    </xf>
    <xf borderId="1" fillId="3" fontId="3" numFmtId="4" xfId="0" applyAlignment="1" applyBorder="1" applyFont="1" applyNumberFormat="1">
      <alignment horizontal="left" shrinkToFit="0" vertical="top" wrapText="1"/>
    </xf>
    <xf borderId="0" fillId="3" fontId="5" numFmtId="0" xfId="0" applyAlignment="1" applyFont="1">
      <alignment readingOrder="0"/>
    </xf>
    <xf borderId="1" fillId="3" fontId="3" numFmtId="0" xfId="0" applyAlignment="1" applyBorder="1" applyFont="1">
      <alignment horizontal="left" shrinkToFit="0" vertical="top" wrapText="1"/>
    </xf>
    <xf borderId="1" fillId="3" fontId="4" numFmtId="0" xfId="0" applyAlignment="1" applyBorder="1" applyFont="1">
      <alignment horizontal="left" shrinkToFit="0" wrapText="1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3" fontId="5" numFmtId="0" xfId="0" applyFont="1"/>
    <xf borderId="0" fillId="0" fontId="5" numFmtId="4" xfId="0" applyAlignment="1" applyFont="1" applyNumberFormat="1">
      <alignment shrinkToFit="0" vertical="center" wrapText="0"/>
    </xf>
    <xf borderId="0" fillId="0" fontId="5" numFmtId="2" xfId="0" applyAlignment="1" applyFont="1" applyNumberFormat="1">
      <alignment shrinkToFit="0" vertical="center" wrapText="0"/>
    </xf>
    <xf borderId="0" fillId="0" fontId="5" numFmtId="3" xfId="0" applyAlignment="1" applyFont="1" applyNumberFormat="1">
      <alignment readingOrder="0" shrinkToFit="0" vertical="center" wrapText="0"/>
    </xf>
    <xf borderId="1" fillId="3" fontId="3" numFmtId="164" xfId="0" applyAlignment="1" applyBorder="1" applyFont="1" applyNumberFormat="1">
      <alignment horizontal="left" shrinkToFit="0" wrapText="1"/>
    </xf>
    <xf borderId="1" fillId="3" fontId="3" numFmtId="1" xfId="0" applyAlignment="1" applyBorder="1" applyFont="1" applyNumberFormat="1">
      <alignment horizontal="left" shrinkToFit="0" wrapText="1"/>
    </xf>
    <xf borderId="1" fillId="3" fontId="3" numFmtId="4" xfId="0" applyAlignment="1" applyBorder="1" applyFont="1" applyNumberFormat="1">
      <alignment horizontal="left" shrinkToFit="0" wrapText="1"/>
    </xf>
    <xf borderId="0" fillId="0" fontId="5" numFmtId="0" xfId="0" applyAlignment="1" applyFont="1">
      <alignment readingOrder="0"/>
    </xf>
    <xf borderId="0" fillId="0" fontId="5" numFmtId="4" xfId="0" applyFont="1" applyNumberFormat="1"/>
    <xf borderId="0" fillId="0" fontId="5" numFmtId="3" xfId="0" applyAlignment="1" applyFont="1" applyNumberFormat="1">
      <alignment readingOrder="0"/>
    </xf>
    <xf borderId="0" fillId="0" fontId="5" numFmtId="3" xfId="0" applyFont="1" applyNumberFormat="1"/>
    <xf borderId="0" fillId="0" fontId="5" numFmtId="165" xfId="0" applyAlignment="1" applyFont="1" applyNumberFormat="1">
      <alignment readingOrder="0"/>
    </xf>
    <xf borderId="1" fillId="3" fontId="6" numFmtId="164" xfId="0" applyAlignment="1" applyBorder="1" applyFont="1" applyNumberFormat="1">
      <alignment horizontal="left" shrinkToFit="0" vertical="bottom" wrapText="1"/>
    </xf>
    <xf borderId="1" fillId="3" fontId="6" numFmtId="1" xfId="0" applyAlignment="1" applyBorder="1" applyFont="1" applyNumberFormat="1">
      <alignment horizontal="left" shrinkToFit="0" vertical="bottom" wrapText="1"/>
    </xf>
    <xf borderId="1" fillId="3" fontId="6" numFmtId="0" xfId="0" applyAlignment="1" applyBorder="1" applyFont="1">
      <alignment horizontal="left" shrinkToFit="0" vertical="bottom" wrapText="1"/>
    </xf>
    <xf borderId="1" fillId="3" fontId="6" numFmtId="4" xfId="0" applyAlignment="1" applyBorder="1" applyFont="1" applyNumberFormat="1">
      <alignment horizontal="left" shrinkToFit="0" vertical="bottom" wrapText="1"/>
    </xf>
    <xf borderId="0" fillId="3" fontId="7" numFmtId="0" xfId="0" applyAlignment="1" applyFont="1">
      <alignment vertical="bottom"/>
    </xf>
    <xf borderId="1" fillId="3" fontId="3" numFmtId="2" xfId="0" applyAlignment="1" applyBorder="1" applyFont="1" applyNumberFormat="1">
      <alignment horizontal="left" shrinkToFit="0" vertical="top" wrapText="1"/>
    </xf>
    <xf borderId="1" fillId="3" fontId="8" numFmtId="0" xfId="0" applyAlignment="1" applyBorder="1" applyFont="1">
      <alignment horizontal="left" shrinkToFit="0" vertical="top" wrapText="1"/>
    </xf>
    <xf borderId="1" fillId="3" fontId="3" numFmtId="0" xfId="0" applyAlignment="1" applyBorder="1" applyFont="1">
      <alignment horizontal="left" readingOrder="0" shrinkToFit="0" vertical="top" wrapText="1"/>
    </xf>
    <xf borderId="1" fillId="3" fontId="3" numFmtId="0" xfId="0" applyAlignment="1" applyBorder="1" applyFont="1">
      <alignment horizontal="left" shrinkToFit="0" wrapText="1"/>
    </xf>
    <xf borderId="1" fillId="3" fontId="9" numFmtId="0" xfId="0" applyAlignment="1" applyBorder="1" applyFont="1">
      <alignment horizontal="left" shrinkToFit="0" vertical="top" wrapText="1"/>
    </xf>
    <xf borderId="1" fillId="3" fontId="10" numFmtId="164" xfId="0" applyAlignment="1" applyBorder="1" applyFont="1" applyNumberFormat="1">
      <alignment horizontal="left" shrinkToFit="0" vertical="top" wrapText="1"/>
    </xf>
    <xf borderId="1" fillId="3" fontId="3" numFmtId="0" xfId="0" applyAlignment="1" applyBorder="1" applyFont="1">
      <alignment horizontal="left" shrinkToFit="0" vertical="top" wrapText="1"/>
    </xf>
    <xf borderId="1" fillId="3" fontId="11" numFmtId="0" xfId="0" applyAlignment="1" applyBorder="1" applyFont="1">
      <alignment horizontal="left" shrinkToFit="0" vertical="top" wrapText="1"/>
    </xf>
    <xf borderId="1" fillId="3" fontId="10" numFmtId="4" xfId="0" applyAlignment="1" applyBorder="1" applyFont="1" applyNumberFormat="1">
      <alignment horizontal="left" shrinkToFit="0" vertical="top" wrapText="1"/>
    </xf>
    <xf borderId="1" fillId="3" fontId="10" numFmtId="1" xfId="0" applyAlignment="1" applyBorder="1" applyFont="1" applyNumberFormat="1">
      <alignment horizontal="left" shrinkToFit="0" vertical="top" wrapText="1"/>
    </xf>
    <xf borderId="1" fillId="3" fontId="10" numFmtId="2" xfId="0" applyAlignment="1" applyBorder="1" applyFont="1" applyNumberFormat="1">
      <alignment horizontal="left" shrinkToFit="0" vertical="top" wrapText="1"/>
    </xf>
    <xf borderId="1" fillId="3" fontId="12" numFmtId="0" xfId="0" applyAlignment="1" applyBorder="1" applyFont="1">
      <alignment horizontal="left" shrinkToFit="0" vertical="top" wrapText="1"/>
    </xf>
    <xf borderId="1" fillId="3" fontId="11" numFmtId="0" xfId="0" applyAlignment="1" applyBorder="1" applyFont="1">
      <alignment horizontal="left" shrinkToFit="0" vertical="center" wrapText="1"/>
    </xf>
    <xf borderId="1" fillId="3" fontId="10" numFmtId="164" xfId="0" applyAlignment="1" applyBorder="1" applyFont="1" applyNumberFormat="1">
      <alignment horizontal="left" shrinkToFit="0" vertical="center" wrapText="1"/>
    </xf>
    <xf borderId="1" fillId="3" fontId="10" numFmtId="1" xfId="0" applyAlignment="1" applyBorder="1" applyFont="1" applyNumberFormat="1">
      <alignment horizontal="left" shrinkToFit="0" vertical="center" wrapText="1"/>
    </xf>
    <xf borderId="1" fillId="3" fontId="10" numFmtId="4" xfId="0" applyAlignment="1" applyBorder="1" applyFont="1" applyNumberFormat="1">
      <alignment horizontal="left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3" fontId="10" numFmtId="0" xfId="0" applyAlignment="1" applyBorder="1" applyFont="1">
      <alignment horizontal="left" readingOrder="0" shrinkToFit="0" vertical="top" wrapText="1"/>
    </xf>
    <xf borderId="1" fillId="3" fontId="10" numFmtId="166" xfId="0" applyAlignment="1" applyBorder="1" applyFont="1" applyNumberFormat="1">
      <alignment horizontal="left" shrinkToFit="0" vertical="top" wrapText="1"/>
    </xf>
    <xf borderId="1" fillId="3" fontId="13" numFmtId="0" xfId="0" applyAlignment="1" applyBorder="1" applyFont="1">
      <alignment horizontal="left" shrinkToFit="0" vertical="top" wrapText="1"/>
    </xf>
    <xf borderId="2" fillId="3" fontId="14" numFmtId="167" xfId="0" applyAlignment="1" applyBorder="1" applyFont="1" applyNumberFormat="1">
      <alignment horizontal="left" shrinkToFit="0" vertical="top" wrapText="1"/>
    </xf>
    <xf borderId="2" fillId="3" fontId="14" numFmtId="0" xfId="0" applyAlignment="1" applyBorder="1" applyFont="1">
      <alignment horizontal="left" readingOrder="0" shrinkToFit="0" vertical="top" wrapText="1"/>
    </xf>
    <xf borderId="2" fillId="3" fontId="15" numFmtId="0" xfId="0" applyAlignment="1" applyBorder="1" applyFont="1">
      <alignment horizontal="left" readingOrder="0" shrinkToFit="0" vertical="top" wrapText="1"/>
    </xf>
    <xf borderId="2" fillId="3" fontId="14" numFmtId="4" xfId="0" applyAlignment="1" applyBorder="1" applyFont="1" applyNumberFormat="1">
      <alignment horizontal="left" shrinkToFit="0" vertical="top" wrapText="1"/>
    </xf>
    <xf borderId="1" fillId="3" fontId="14" numFmtId="167" xfId="0" applyAlignment="1" applyBorder="1" applyFont="1" applyNumberFormat="1">
      <alignment horizontal="left" shrinkToFit="0" vertical="top" wrapText="1"/>
    </xf>
    <xf borderId="1" fillId="3" fontId="15" numFmtId="0" xfId="0" applyAlignment="1" applyBorder="1" applyFont="1">
      <alignment horizontal="left" shrinkToFit="0" vertical="top" wrapText="1"/>
    </xf>
    <xf borderId="1" fillId="3" fontId="14" numFmtId="4" xfId="0" applyAlignment="1" applyBorder="1" applyFont="1" applyNumberFormat="1">
      <alignment horizontal="left" shrinkToFit="0" vertical="top" wrapText="1"/>
    </xf>
    <xf borderId="1" fillId="3" fontId="14" numFmtId="166" xfId="0" applyAlignment="1" applyBorder="1" applyFont="1" applyNumberFormat="1">
      <alignment horizontal="left" shrinkToFit="0" vertical="top" wrapText="1"/>
    </xf>
    <xf borderId="2" fillId="3" fontId="15" numFmtId="0" xfId="0" applyAlignment="1" applyBorder="1" applyFont="1">
      <alignment horizontal="left" shrinkToFit="0" vertical="top" wrapText="1"/>
    </xf>
    <xf borderId="2" fillId="3" fontId="4" numFmtId="0" xfId="0" applyAlignment="1" applyBorder="1" applyFont="1">
      <alignment horizontal="left" shrinkToFit="0" vertical="top" wrapText="1"/>
    </xf>
    <xf borderId="3" fillId="3" fontId="4" numFmtId="0" xfId="0" applyAlignment="1" applyBorder="1" applyFont="1">
      <alignment horizontal="left" shrinkToFit="0" wrapText="1"/>
    </xf>
    <xf borderId="3" fillId="3" fontId="14" numFmtId="1" xfId="0" applyAlignment="1" applyBorder="1" applyFont="1" applyNumberFormat="1">
      <alignment horizontal="left" shrinkToFit="0" vertical="top" wrapText="1"/>
    </xf>
    <xf borderId="3" fillId="3" fontId="15" numFmtId="0" xfId="0" applyAlignment="1" applyBorder="1" applyFont="1">
      <alignment horizontal="left" shrinkToFit="0" vertical="top" wrapText="1"/>
    </xf>
    <xf borderId="3" fillId="0" fontId="16" numFmtId="0" xfId="0" applyBorder="1" applyFont="1"/>
    <xf borderId="4" fillId="3" fontId="4" numFmtId="0" xfId="0" applyAlignment="1" applyBorder="1" applyFont="1">
      <alignment horizontal="left" shrinkToFit="0" wrapText="1"/>
    </xf>
    <xf borderId="4" fillId="3" fontId="15" numFmtId="0" xfId="0" applyAlignment="1" applyBorder="1" applyFont="1">
      <alignment horizontal="left" shrinkToFit="0" vertical="top" wrapText="1"/>
    </xf>
    <xf borderId="4" fillId="0" fontId="16" numFmtId="0" xfId="0" applyBorder="1" applyFont="1"/>
    <xf borderId="2" fillId="3" fontId="14" numFmtId="1" xfId="0" applyAlignment="1" applyBorder="1" applyFont="1" applyNumberFormat="1">
      <alignment horizontal="left" shrinkToFit="0" vertical="top" wrapText="1"/>
    </xf>
    <xf borderId="2" fillId="3" fontId="14" numFmtId="2" xfId="0" applyAlignment="1" applyBorder="1" applyFont="1" applyNumberFormat="1">
      <alignment horizontal="left" shrinkToFit="0" vertical="top" wrapText="1"/>
    </xf>
    <xf borderId="3" fillId="3" fontId="14" numFmtId="168" xfId="0" applyAlignment="1" applyBorder="1" applyFont="1" applyNumberFormat="1">
      <alignment horizontal="left" shrinkToFit="0" vertical="top" wrapText="1"/>
    </xf>
    <xf borderId="5" fillId="3" fontId="4" numFmtId="0" xfId="0" applyAlignment="1" applyBorder="1" applyFont="1">
      <alignment horizontal="left" shrinkToFit="0" wrapText="1"/>
    </xf>
    <xf borderId="5" fillId="3" fontId="15" numFmtId="0" xfId="0" applyAlignment="1" applyBorder="1" applyFont="1">
      <alignment horizontal="left" shrinkToFit="0" vertical="top" wrapText="1"/>
    </xf>
    <xf borderId="0" fillId="3" fontId="5" numFmtId="0" xfId="0" applyAlignment="1" applyFont="1">
      <alignment horizontal="left" shrinkToFit="0" wrapText="1"/>
    </xf>
    <xf borderId="4" fillId="3" fontId="14" numFmtId="0" xfId="0" applyAlignment="1" applyBorder="1" applyFont="1">
      <alignment horizontal="left" readingOrder="0" shrinkToFit="0" vertical="top" wrapText="1"/>
    </xf>
    <xf borderId="3" fillId="3" fontId="14" numFmtId="169" xfId="0" applyAlignment="1" applyBorder="1" applyFont="1" applyNumberFormat="1">
      <alignment horizontal="left" shrinkToFit="0" vertical="top" wrapText="1"/>
    </xf>
    <xf borderId="2" fillId="3" fontId="15" numFmtId="167" xfId="0" applyAlignment="1" applyBorder="1" applyFont="1" applyNumberFormat="1">
      <alignment horizontal="left" shrinkToFit="0" vertical="top" wrapText="1"/>
    </xf>
    <xf borderId="2" fillId="3" fontId="15" numFmtId="4" xfId="0" applyAlignment="1" applyBorder="1" applyFont="1" applyNumberFormat="1">
      <alignment horizontal="left" shrinkToFit="0" vertical="top" wrapText="1"/>
    </xf>
    <xf borderId="3" fillId="3" fontId="15" numFmtId="1" xfId="0" applyAlignment="1" applyBorder="1" applyFont="1" applyNumberFormat="1">
      <alignment horizontal="left" shrinkToFit="0" vertical="top" wrapText="1"/>
    </xf>
    <xf borderId="3" fillId="3" fontId="14" numFmtId="170" xfId="0" applyAlignment="1" applyBorder="1" applyFont="1" applyNumberFormat="1">
      <alignment horizontal="left" shrinkToFit="0" vertical="top" wrapText="1"/>
    </xf>
    <xf borderId="1" fillId="3" fontId="14" numFmtId="2" xfId="0" applyAlignment="1" applyBorder="1" applyFont="1" applyNumberFormat="1">
      <alignment horizontal="left" shrinkToFit="0" vertical="top" wrapText="1"/>
    </xf>
    <xf borderId="1" fillId="3" fontId="14" numFmtId="1" xfId="0" applyAlignment="1" applyBorder="1" applyFont="1" applyNumberFormat="1">
      <alignment horizontal="left" shrinkToFit="0" vertical="top" wrapText="1"/>
    </xf>
    <xf borderId="0" fillId="3" fontId="17" numFmtId="167" xfId="0" applyAlignment="1" applyFont="1" applyNumberFormat="1">
      <alignment horizontal="left" readingOrder="0" shrinkToFit="0" wrapText="1"/>
    </xf>
    <xf borderId="2" fillId="3" fontId="14" numFmtId="167" xfId="0" applyAlignment="1" applyBorder="1" applyFont="1" applyNumberFormat="1">
      <alignment horizontal="left" readingOrder="0" shrinkToFit="0" vertical="top" wrapText="1"/>
    </xf>
    <xf borderId="2" fillId="3" fontId="14" numFmtId="4" xfId="0" applyAlignment="1" applyBorder="1" applyFont="1" applyNumberFormat="1">
      <alignment horizontal="left" readingOrder="0" shrinkToFit="0" vertical="top" wrapText="1"/>
    </xf>
    <xf borderId="4" fillId="3" fontId="14" numFmtId="1" xfId="0" applyAlignment="1" applyBorder="1" applyFont="1" applyNumberFormat="1">
      <alignment horizontal="left" shrinkToFit="0" vertical="top" wrapText="1"/>
    </xf>
    <xf borderId="1" fillId="3" fontId="5" numFmtId="167" xfId="0" applyAlignment="1" applyBorder="1" applyFont="1" applyNumberFormat="1">
      <alignment horizontal="left" readingOrder="0" shrinkToFit="0" wrapText="1"/>
    </xf>
    <xf borderId="1" fillId="3" fontId="5" numFmtId="0" xfId="0" applyAlignment="1" applyBorder="1" applyFont="1">
      <alignment horizontal="left" readingOrder="0" shrinkToFit="0" wrapText="1"/>
    </xf>
    <xf borderId="1" fillId="3" fontId="17" numFmtId="4" xfId="0" applyAlignment="1" applyBorder="1" applyFont="1" applyNumberFormat="1">
      <alignment horizontal="left" readingOrder="0" shrinkToFit="0" wrapText="1"/>
    </xf>
    <xf borderId="1" fillId="3" fontId="5" numFmtId="0" xfId="0" applyAlignment="1" applyBorder="1" applyFont="1">
      <alignment horizontal="left" shrinkToFit="0" wrapText="1"/>
    </xf>
    <xf borderId="1" fillId="3" fontId="5" numFmtId="4" xfId="0" applyAlignment="1" applyBorder="1" applyFont="1" applyNumberFormat="1">
      <alignment horizontal="left" readingOrder="0" shrinkToFit="0" wrapText="1"/>
    </xf>
    <xf borderId="1" fillId="3" fontId="7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py of FY 25-26 statrment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J3:T5" displayName="Expenses" name="Expenses" id="1">
  <tableColumns count="11">
    <tableColumn name="Kisan 2025 Expenses" id="1"/>
    <tableColumn name="Marketing Expenses" id="2"/>
    <tableColumn name="Salaries" id="3"/>
    <tableColumn name="Consultancy fees" id="4"/>
    <tableColumn name="Legal fees" id="5"/>
    <tableColumn name="Food" id="6"/>
    <tableColumn name="Platform fees" id="7"/>
    <tableColumn name="Equipments" id="8"/>
    <tableColumn name="Convences" id="9"/>
    <tableColumn name="JPT " id="10"/>
    <tableColumn name="Donation" id="11"/>
  </tableColumns>
  <tableStyleInfo name="Copy of FY 25-26 statrment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041263400006460@yesb0000412.ifsc.npci" TargetMode="External"/><Relationship Id="rId10" Type="http://schemas.openxmlformats.org/officeDocument/2006/relationships/hyperlink" Target="mailto:041263400006460@yesb0000412.ifsc.npci" TargetMode="External"/><Relationship Id="rId13" Type="http://schemas.openxmlformats.org/officeDocument/2006/relationships/hyperlink" Target="mailto:041263400006460@yesb0000412.ifsc.npci" TargetMode="External"/><Relationship Id="rId12" Type="http://schemas.openxmlformats.org/officeDocument/2006/relationships/hyperlink" Target="mailto:041263400006460@yesb0000412.ifsc.npci" TargetMode="External"/><Relationship Id="rId1" Type="http://schemas.openxmlformats.org/officeDocument/2006/relationships/hyperlink" Target="mailto:041263400006460@yesb0000412.ifsc.npci" TargetMode="External"/><Relationship Id="rId2" Type="http://schemas.openxmlformats.org/officeDocument/2006/relationships/hyperlink" Target="mailto:041263400006460@yesb0000412.ifsc.npci" TargetMode="External"/><Relationship Id="rId3" Type="http://schemas.openxmlformats.org/officeDocument/2006/relationships/hyperlink" Target="mailto:041263400006460@YESB0000412.ifsc.npci" TargetMode="External"/><Relationship Id="rId4" Type="http://schemas.openxmlformats.org/officeDocument/2006/relationships/hyperlink" Target="mailto:041263400006460@yesb0000412.ifsc.npci" TargetMode="External"/><Relationship Id="rId9" Type="http://schemas.openxmlformats.org/officeDocument/2006/relationships/hyperlink" Target="mailto:041263400006460@yesb0000412.ifsc.npci" TargetMode="External"/><Relationship Id="rId15" Type="http://schemas.openxmlformats.org/officeDocument/2006/relationships/hyperlink" Target="mailto:041263400006460@yesb0000412.ifsc.npci" TargetMode="External"/><Relationship Id="rId14" Type="http://schemas.openxmlformats.org/officeDocument/2006/relationships/hyperlink" Target="mailto:041263400006460@yesb0000412.ifsc.npci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mailto:041263400006460@YESB0000412.ifsc.npci" TargetMode="External"/><Relationship Id="rId5" Type="http://schemas.openxmlformats.org/officeDocument/2006/relationships/hyperlink" Target="mailto:041263400006460@yesb0000412.ifsc.npci" TargetMode="External"/><Relationship Id="rId19" Type="http://schemas.openxmlformats.org/officeDocument/2006/relationships/table" Target="../tables/table1.xml"/><Relationship Id="rId6" Type="http://schemas.openxmlformats.org/officeDocument/2006/relationships/hyperlink" Target="mailto:041263400006460@yesb0000412.ifsc.npci" TargetMode="External"/><Relationship Id="rId7" Type="http://schemas.openxmlformats.org/officeDocument/2006/relationships/hyperlink" Target="mailto:041263400006460@yesb0000412.ifsc.npci" TargetMode="External"/><Relationship Id="rId8" Type="http://schemas.openxmlformats.org/officeDocument/2006/relationships/hyperlink" Target="mailto:041263400006460@yesb0000412.ifsc.np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38"/>
    <col customWidth="1" min="4" max="4" width="34.5"/>
    <col customWidth="1" min="7" max="7" width="32.75"/>
    <col customWidth="1" min="10" max="10" width="18.88"/>
    <col customWidth="1" min="11" max="11" width="21.38"/>
    <col customWidth="1" min="12" max="12" width="20.5"/>
    <col customWidth="1" min="13" max="13" width="20.88"/>
    <col customWidth="1" min="14" max="14" width="18.25"/>
    <col customWidth="1" min="15" max="15" width="14.63"/>
    <col customWidth="1" min="16" max="16" width="14.13"/>
    <col customWidth="1" min="17" max="17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</row>
    <row r="2">
      <c r="A2" s="4">
        <v>45748.0</v>
      </c>
      <c r="B2" s="4">
        <v>45748.0</v>
      </c>
      <c r="C2" s="5">
        <v>5.09112104959E11</v>
      </c>
      <c r="D2" s="6" t="s">
        <v>7</v>
      </c>
      <c r="E2" s="7">
        <v>2400.0</v>
      </c>
      <c r="F2" s="6"/>
      <c r="G2" s="8" t="s">
        <v>8</v>
      </c>
    </row>
    <row r="3" ht="22.5" customHeight="1">
      <c r="A3" s="4">
        <v>45755.0</v>
      </c>
      <c r="B3" s="4">
        <v>45755.0</v>
      </c>
      <c r="C3" s="9" t="s">
        <v>9</v>
      </c>
      <c r="D3" s="9" t="s">
        <v>10</v>
      </c>
      <c r="E3" s="10"/>
      <c r="F3" s="7">
        <v>66150.0</v>
      </c>
      <c r="G3" s="8" t="s">
        <v>11</v>
      </c>
      <c r="J3" s="11" t="s">
        <v>12</v>
      </c>
      <c r="K3" s="11" t="s">
        <v>13</v>
      </c>
      <c r="L3" s="11" t="s">
        <v>14</v>
      </c>
      <c r="M3" s="11" t="s">
        <v>15</v>
      </c>
      <c r="N3" s="11" t="s">
        <v>16</v>
      </c>
      <c r="O3" s="11" t="s">
        <v>17</v>
      </c>
      <c r="P3" s="11" t="s">
        <v>18</v>
      </c>
      <c r="Q3" s="12" t="s">
        <v>19</v>
      </c>
      <c r="R3" s="12" t="s">
        <v>20</v>
      </c>
      <c r="S3" s="12" t="s">
        <v>21</v>
      </c>
      <c r="T3" s="12" t="s">
        <v>22</v>
      </c>
    </row>
    <row r="4" ht="22.5" customHeight="1">
      <c r="A4" s="10"/>
      <c r="B4" s="10"/>
      <c r="C4" s="10"/>
      <c r="D4" s="9" t="s">
        <v>23</v>
      </c>
      <c r="E4" s="10"/>
      <c r="F4" s="10"/>
      <c r="G4" s="13"/>
      <c r="J4" s="14">
        <f>E148+E419+E424+E429+E438+E444+E448+E449+E525+E573+E623</f>
        <v>387516</v>
      </c>
      <c r="K4" s="14">
        <f>E2+ E108+E109+E112+E126+E180+E333+E449</f>
        <v>33876</v>
      </c>
      <c r="L4" s="14">
        <f>E128+E131+E133+E150+E166+E175+E401+E406+E629</f>
        <v>358321</v>
      </c>
      <c r="M4" s="14">
        <f>E537-F550</f>
        <v>200000</v>
      </c>
      <c r="N4" s="14">
        <f>E6</f>
        <v>36000</v>
      </c>
      <c r="O4" s="15">
        <f>E62+E141+E142+E143+E146+E147+E156+E162+E183+E189+E204+E269+E275+E280+E459+E507+E634</f>
        <v>36811.08</v>
      </c>
      <c r="P4" s="14">
        <f>E51+E37+E61+E114+E115+E116+E138+E245+E310+E313+E332-F334-F335-F383+E455+E653+E139</f>
        <v>142586.75</v>
      </c>
      <c r="Q4" s="14">
        <f>E113+E123+E171</f>
        <v>13990.79</v>
      </c>
      <c r="R4" s="14">
        <f>E118+E119+E145+E151+E316+E416+E607+E53+E55+E56+E60+E80+E656</f>
        <v>31355</v>
      </c>
      <c r="S4" s="14">
        <f>E381+E618+E560+E140</f>
        <v>160000</v>
      </c>
      <c r="T4" s="16">
        <v>15001.0</v>
      </c>
    </row>
    <row r="5" ht="22.5" customHeight="1">
      <c r="A5" s="4">
        <v>45761.0</v>
      </c>
      <c r="B5" s="4">
        <v>45761.0</v>
      </c>
      <c r="C5" s="5">
        <v>5.10419340168E11</v>
      </c>
      <c r="D5" s="6" t="s">
        <v>24</v>
      </c>
      <c r="E5" s="7">
        <v>66150.0</v>
      </c>
      <c r="F5" s="6"/>
      <c r="G5" s="8" t="s">
        <v>25</v>
      </c>
      <c r="H5" s="8"/>
    </row>
    <row r="6">
      <c r="A6" s="17">
        <v>45766.0</v>
      </c>
      <c r="B6" s="17">
        <v>45766.0</v>
      </c>
      <c r="C6" s="18">
        <v>5.10916276924E11</v>
      </c>
      <c r="D6" s="6" t="s">
        <v>26</v>
      </c>
      <c r="E6" s="19">
        <v>36000.0</v>
      </c>
      <c r="F6" s="6"/>
      <c r="G6" s="8" t="s">
        <v>27</v>
      </c>
    </row>
    <row r="7">
      <c r="A7" s="4">
        <v>45775.0</v>
      </c>
      <c r="B7" s="4">
        <v>45775.0</v>
      </c>
      <c r="C7" s="9" t="s">
        <v>28</v>
      </c>
      <c r="D7" s="6" t="s">
        <v>29</v>
      </c>
      <c r="E7" s="6"/>
      <c r="F7" s="7">
        <v>29400.0</v>
      </c>
      <c r="G7" s="8" t="s">
        <v>30</v>
      </c>
      <c r="J7" s="20" t="s">
        <v>31</v>
      </c>
    </row>
    <row r="8">
      <c r="A8" s="4">
        <v>45783.0</v>
      </c>
      <c r="B8" s="4">
        <v>45783.0</v>
      </c>
      <c r="C8" s="5">
        <v>5.1261808239E11</v>
      </c>
      <c r="D8" s="6" t="s">
        <v>32</v>
      </c>
      <c r="E8" s="7">
        <v>20000.0</v>
      </c>
      <c r="F8" s="6"/>
      <c r="G8" s="8" t="s">
        <v>33</v>
      </c>
      <c r="J8" s="21">
        <f>J4+K4+L4+M4+N4+O4+P4+Q4+R4+S4+T4</f>
        <v>1415457.62</v>
      </c>
    </row>
    <row r="9">
      <c r="A9" s="4">
        <v>45789.0</v>
      </c>
      <c r="B9" s="4">
        <v>45789.0</v>
      </c>
      <c r="C9" s="5">
        <v>5.13217302707E11</v>
      </c>
      <c r="D9" s="6" t="s">
        <v>34</v>
      </c>
      <c r="E9" s="7">
        <v>15000.0</v>
      </c>
      <c r="F9" s="6"/>
      <c r="G9" s="8" t="s">
        <v>35</v>
      </c>
      <c r="J9" s="20"/>
    </row>
    <row r="10">
      <c r="A10" s="4">
        <v>45791.0</v>
      </c>
      <c r="B10" s="4">
        <v>45791.0</v>
      </c>
      <c r="C10" s="9" t="s">
        <v>36</v>
      </c>
      <c r="D10" s="6" t="s">
        <v>37</v>
      </c>
      <c r="E10" s="6"/>
      <c r="F10" s="7">
        <v>48686.0</v>
      </c>
      <c r="G10" s="8" t="s">
        <v>38</v>
      </c>
      <c r="J10" s="20" t="s">
        <v>39</v>
      </c>
    </row>
    <row r="11">
      <c r="A11" s="4">
        <v>45792.0</v>
      </c>
      <c r="B11" s="4">
        <v>45792.0</v>
      </c>
      <c r="C11" s="5">
        <v>5.13513288732E11</v>
      </c>
      <c r="D11" s="6" t="s">
        <v>40</v>
      </c>
      <c r="E11" s="7">
        <v>10000.0</v>
      </c>
      <c r="F11" s="6"/>
      <c r="G11" s="8" t="s">
        <v>41</v>
      </c>
      <c r="J11" s="20" t="s">
        <v>42</v>
      </c>
      <c r="K11" s="20" t="s">
        <v>43</v>
      </c>
      <c r="L11" s="20" t="s">
        <v>44</v>
      </c>
      <c r="M11" s="20" t="s">
        <v>45</v>
      </c>
      <c r="N11" s="20" t="s">
        <v>46</v>
      </c>
    </row>
    <row r="12">
      <c r="A12" s="4">
        <v>45793.0</v>
      </c>
      <c r="B12" s="4">
        <v>45793.0</v>
      </c>
      <c r="C12" s="5">
        <v>5.13609150511E11</v>
      </c>
      <c r="D12" s="6" t="s">
        <v>47</v>
      </c>
      <c r="E12" s="7">
        <v>20000.0</v>
      </c>
      <c r="F12" s="6"/>
      <c r="G12" s="8" t="s">
        <v>48</v>
      </c>
      <c r="J12" s="20" t="s">
        <v>49</v>
      </c>
      <c r="K12" s="20" t="s">
        <v>50</v>
      </c>
      <c r="L12" s="22">
        <v>66150.0</v>
      </c>
      <c r="M12" s="22">
        <v>66150.0</v>
      </c>
      <c r="N12" s="20">
        <v>0.0</v>
      </c>
    </row>
    <row r="13">
      <c r="A13" s="4">
        <v>45793.0</v>
      </c>
      <c r="B13" s="4">
        <v>45793.0</v>
      </c>
      <c r="C13" s="5">
        <v>5.13616386725E11</v>
      </c>
      <c r="D13" s="6" t="s">
        <v>51</v>
      </c>
      <c r="E13" s="7">
        <v>10000.0</v>
      </c>
      <c r="F13" s="6"/>
      <c r="G13" s="8" t="s">
        <v>52</v>
      </c>
      <c r="J13" s="20" t="s">
        <v>53</v>
      </c>
      <c r="K13" s="20" t="s">
        <v>50</v>
      </c>
      <c r="L13" s="20">
        <v>122850.0</v>
      </c>
      <c r="M13" s="20">
        <v>122850.0</v>
      </c>
      <c r="N13" s="20">
        <v>0.0</v>
      </c>
    </row>
    <row r="14">
      <c r="A14" s="4">
        <v>45794.0</v>
      </c>
      <c r="B14" s="4">
        <v>45794.0</v>
      </c>
      <c r="C14" s="9" t="s">
        <v>54</v>
      </c>
      <c r="D14" s="9" t="s">
        <v>55</v>
      </c>
      <c r="E14" s="10"/>
      <c r="F14" s="7">
        <v>126420.0</v>
      </c>
      <c r="G14" s="8" t="s">
        <v>56</v>
      </c>
      <c r="J14" s="20" t="s">
        <v>57</v>
      </c>
      <c r="K14" s="20" t="s">
        <v>58</v>
      </c>
      <c r="L14" s="22">
        <v>90000.0</v>
      </c>
      <c r="M14" s="22">
        <v>70000.0</v>
      </c>
      <c r="N14" s="23">
        <f t="shared" ref="N14:N18" si="1">L14-M14</f>
        <v>20000</v>
      </c>
    </row>
    <row r="15">
      <c r="A15" s="4">
        <v>45794.0</v>
      </c>
      <c r="B15" s="4">
        <v>45794.0</v>
      </c>
      <c r="C15" s="5">
        <v>5.13730220855E11</v>
      </c>
      <c r="D15" s="6" t="s">
        <v>59</v>
      </c>
      <c r="E15" s="7">
        <v>5000.0</v>
      </c>
      <c r="F15" s="6"/>
      <c r="G15" s="8" t="s">
        <v>60</v>
      </c>
      <c r="J15" s="24">
        <v>45873.0</v>
      </c>
      <c r="K15" s="20" t="s">
        <v>61</v>
      </c>
      <c r="L15" s="22">
        <v>90000.0</v>
      </c>
      <c r="M15" s="20">
        <v>251154.0</v>
      </c>
      <c r="N15" s="23">
        <f t="shared" si="1"/>
        <v>-161154</v>
      </c>
    </row>
    <row r="16">
      <c r="A16" s="4">
        <v>45795.0</v>
      </c>
      <c r="B16" s="4">
        <v>45795.0</v>
      </c>
      <c r="C16" s="5">
        <v>5.13830678286E11</v>
      </c>
      <c r="D16" s="6" t="s">
        <v>62</v>
      </c>
      <c r="E16" s="7">
        <v>21476.0</v>
      </c>
      <c r="F16" s="6"/>
      <c r="G16" s="8" t="s">
        <v>63</v>
      </c>
      <c r="J16" s="20" t="s">
        <v>64</v>
      </c>
      <c r="K16" s="20" t="s">
        <v>65</v>
      </c>
      <c r="L16" s="22">
        <v>35403.0</v>
      </c>
      <c r="M16" s="21">
        <f>E104+E105</f>
        <v>34156</v>
      </c>
      <c r="N16" s="23">
        <f t="shared" si="1"/>
        <v>1247</v>
      </c>
    </row>
    <row r="17">
      <c r="A17" s="4">
        <v>45796.0</v>
      </c>
      <c r="B17" s="4">
        <v>45796.0</v>
      </c>
      <c r="C17" s="5">
        <v>5.13930980931E11</v>
      </c>
      <c r="D17" s="6" t="s">
        <v>66</v>
      </c>
      <c r="E17" s="7">
        <v>139013.0</v>
      </c>
      <c r="F17" s="6"/>
      <c r="G17" s="8" t="s">
        <v>67</v>
      </c>
      <c r="J17" s="20" t="s">
        <v>68</v>
      </c>
      <c r="K17" s="20" t="s">
        <v>69</v>
      </c>
      <c r="L17" s="21">
        <f>F121+F124</f>
        <v>100000</v>
      </c>
      <c r="M17" s="22">
        <v>97940.0</v>
      </c>
      <c r="N17" s="21">
        <f t="shared" si="1"/>
        <v>2060</v>
      </c>
    </row>
    <row r="18">
      <c r="A18" s="4">
        <v>45796.0</v>
      </c>
      <c r="B18" s="4">
        <v>45796.0</v>
      </c>
      <c r="C18" s="5">
        <v>5.13931114697E11</v>
      </c>
      <c r="D18" s="6" t="s">
        <v>70</v>
      </c>
      <c r="E18" s="7">
        <v>2000.0</v>
      </c>
      <c r="F18" s="6"/>
      <c r="G18" s="8" t="s">
        <v>71</v>
      </c>
      <c r="J18" s="20" t="s">
        <v>72</v>
      </c>
      <c r="K18" s="20" t="s">
        <v>73</v>
      </c>
      <c r="L18" s="21">
        <f>F134+F135</f>
        <v>116050</v>
      </c>
      <c r="M18" s="20">
        <v>56050.0</v>
      </c>
      <c r="N18" s="21">
        <f t="shared" si="1"/>
        <v>60000</v>
      </c>
    </row>
    <row r="19">
      <c r="A19" s="4">
        <v>45798.0</v>
      </c>
      <c r="B19" s="4">
        <v>45798.0</v>
      </c>
      <c r="C19" s="9" t="s">
        <v>74</v>
      </c>
      <c r="D19" s="9" t="s">
        <v>75</v>
      </c>
      <c r="E19" s="6"/>
      <c r="F19" s="7">
        <v>252840.0</v>
      </c>
      <c r="G19" s="8" t="s">
        <v>76</v>
      </c>
      <c r="J19" s="20" t="s">
        <v>77</v>
      </c>
      <c r="K19" s="20" t="s">
        <v>78</v>
      </c>
      <c r="L19" s="22">
        <v>28500.0</v>
      </c>
      <c r="M19" s="22">
        <v>28500.0</v>
      </c>
      <c r="N19" s="20">
        <v>0.0</v>
      </c>
    </row>
    <row r="20">
      <c r="A20" s="4">
        <v>45798.0</v>
      </c>
      <c r="B20" s="4">
        <v>45798.0</v>
      </c>
      <c r="C20" s="5">
        <v>5.1413255291E11</v>
      </c>
      <c r="D20" s="6" t="s">
        <v>79</v>
      </c>
      <c r="E20" s="7">
        <v>9204.0</v>
      </c>
      <c r="F20" s="6"/>
      <c r="G20" s="8" t="s">
        <v>80</v>
      </c>
    </row>
    <row r="21">
      <c r="A21" s="4">
        <v>45798.0</v>
      </c>
      <c r="B21" s="4">
        <v>45798.0</v>
      </c>
      <c r="C21" s="5">
        <v>5.14132601608E11</v>
      </c>
      <c r="D21" s="6" t="s">
        <v>81</v>
      </c>
      <c r="E21" s="7">
        <v>2000.0</v>
      </c>
      <c r="F21" s="6"/>
      <c r="G21" s="8" t="s">
        <v>82</v>
      </c>
    </row>
    <row r="22">
      <c r="A22" s="4">
        <v>45799.0</v>
      </c>
      <c r="B22" s="4">
        <v>45799.0</v>
      </c>
      <c r="C22" s="5">
        <v>5.14233121382E11</v>
      </c>
      <c r="D22" s="6" t="s">
        <v>83</v>
      </c>
      <c r="E22" s="7">
        <v>4800.0</v>
      </c>
      <c r="F22" s="6"/>
      <c r="G22" s="8" t="s">
        <v>84</v>
      </c>
    </row>
    <row r="23">
      <c r="A23" s="4">
        <v>45799.0</v>
      </c>
      <c r="B23" s="4">
        <v>45799.0</v>
      </c>
      <c r="C23" s="5">
        <v>5.142331267E11</v>
      </c>
      <c r="D23" s="6" t="s">
        <v>85</v>
      </c>
      <c r="E23" s="7">
        <v>5000.0</v>
      </c>
      <c r="F23" s="6"/>
      <c r="G23" s="8" t="s">
        <v>86</v>
      </c>
    </row>
    <row r="24">
      <c r="A24" s="25" t="s">
        <v>87</v>
      </c>
      <c r="B24" s="25" t="s">
        <v>87</v>
      </c>
      <c r="C24" s="26" t="s">
        <v>88</v>
      </c>
      <c r="D24" s="27" t="s">
        <v>89</v>
      </c>
      <c r="E24" s="28" t="s">
        <v>90</v>
      </c>
      <c r="F24" s="27" t="s">
        <v>91</v>
      </c>
      <c r="G24" s="8"/>
    </row>
    <row r="25">
      <c r="A25" s="25" t="s">
        <v>87</v>
      </c>
      <c r="B25" s="25" t="s">
        <v>87</v>
      </c>
      <c r="C25" s="26" t="s">
        <v>92</v>
      </c>
      <c r="D25" s="27" t="s">
        <v>93</v>
      </c>
      <c r="E25" s="28" t="s">
        <v>94</v>
      </c>
      <c r="F25" s="27" t="s">
        <v>91</v>
      </c>
      <c r="G25" s="8" t="s">
        <v>95</v>
      </c>
    </row>
    <row r="26">
      <c r="A26" s="25" t="s">
        <v>87</v>
      </c>
      <c r="B26" s="25" t="s">
        <v>87</v>
      </c>
      <c r="C26" s="26" t="s">
        <v>96</v>
      </c>
      <c r="D26" s="27" t="s">
        <v>97</v>
      </c>
      <c r="E26" s="28" t="s">
        <v>98</v>
      </c>
      <c r="F26" s="27" t="s">
        <v>91</v>
      </c>
      <c r="G26" s="8" t="s">
        <v>99</v>
      </c>
    </row>
    <row r="27">
      <c r="A27" s="25" t="s">
        <v>87</v>
      </c>
      <c r="B27" s="25" t="s">
        <v>87</v>
      </c>
      <c r="C27" s="26" t="s">
        <v>100</v>
      </c>
      <c r="D27" s="27" t="s">
        <v>101</v>
      </c>
      <c r="E27" s="28" t="s">
        <v>102</v>
      </c>
      <c r="F27" s="27" t="s">
        <v>91</v>
      </c>
      <c r="G27" s="8" t="s">
        <v>103</v>
      </c>
    </row>
    <row r="28">
      <c r="A28" s="25" t="s">
        <v>104</v>
      </c>
      <c r="B28" s="25" t="s">
        <v>104</v>
      </c>
      <c r="C28" s="26" t="s">
        <v>105</v>
      </c>
      <c r="D28" s="27" t="s">
        <v>106</v>
      </c>
      <c r="E28" s="28" t="s">
        <v>107</v>
      </c>
      <c r="F28" s="27" t="s">
        <v>91</v>
      </c>
      <c r="G28" s="8" t="s">
        <v>108</v>
      </c>
    </row>
    <row r="29">
      <c r="A29" s="25" t="s">
        <v>104</v>
      </c>
      <c r="B29" s="25" t="s">
        <v>104</v>
      </c>
      <c r="C29" s="26" t="s">
        <v>109</v>
      </c>
      <c r="D29" s="27" t="s">
        <v>110</v>
      </c>
      <c r="E29" s="28" t="s">
        <v>111</v>
      </c>
      <c r="F29" s="27" t="s">
        <v>91</v>
      </c>
      <c r="G29" s="29"/>
    </row>
    <row r="30">
      <c r="A30" s="25" t="s">
        <v>112</v>
      </c>
      <c r="B30" s="25" t="s">
        <v>112</v>
      </c>
      <c r="C30" s="26" t="s">
        <v>113</v>
      </c>
      <c r="D30" s="27" t="s">
        <v>114</v>
      </c>
      <c r="E30" s="28" t="s">
        <v>115</v>
      </c>
      <c r="F30" s="27" t="s">
        <v>91</v>
      </c>
      <c r="G30" s="8" t="s">
        <v>116</v>
      </c>
    </row>
    <row r="31">
      <c r="A31" s="25" t="s">
        <v>112</v>
      </c>
      <c r="B31" s="25" t="s">
        <v>112</v>
      </c>
      <c r="C31" s="26" t="s">
        <v>117</v>
      </c>
      <c r="D31" s="27" t="s">
        <v>118</v>
      </c>
      <c r="E31" s="28" t="s">
        <v>119</v>
      </c>
      <c r="F31" s="27" t="s">
        <v>91</v>
      </c>
      <c r="G31" s="8" t="s">
        <v>120</v>
      </c>
    </row>
    <row r="32">
      <c r="A32" s="4">
        <v>45804.0</v>
      </c>
      <c r="B32" s="4">
        <v>45804.0</v>
      </c>
      <c r="C32" s="5">
        <v>5.14735527761E11</v>
      </c>
      <c r="D32" s="6" t="s">
        <v>121</v>
      </c>
      <c r="E32" s="7">
        <v>1345.0</v>
      </c>
      <c r="F32" s="6"/>
      <c r="G32" s="8" t="s">
        <v>122</v>
      </c>
    </row>
    <row r="33">
      <c r="A33" s="4">
        <v>45806.0</v>
      </c>
      <c r="B33" s="4">
        <v>45806.0</v>
      </c>
      <c r="C33" s="5">
        <v>5.14936743262E11</v>
      </c>
      <c r="D33" s="6" t="s">
        <v>123</v>
      </c>
      <c r="E33" s="30">
        <v>700.0</v>
      </c>
      <c r="F33" s="6"/>
      <c r="G33" s="8" t="s">
        <v>122</v>
      </c>
    </row>
    <row r="34">
      <c r="A34" s="4">
        <v>45806.0</v>
      </c>
      <c r="B34" s="4">
        <v>45806.0</v>
      </c>
      <c r="C34" s="9" t="s">
        <v>124</v>
      </c>
      <c r="D34" s="6" t="s">
        <v>125</v>
      </c>
      <c r="E34" s="10"/>
      <c r="F34" s="7">
        <v>24500.0</v>
      </c>
      <c r="G34" s="8" t="s">
        <v>126</v>
      </c>
    </row>
    <row r="35">
      <c r="A35" s="4">
        <v>45806.0</v>
      </c>
      <c r="B35" s="4">
        <v>45806.0</v>
      </c>
      <c r="C35" s="5">
        <v>5.14936869953E11</v>
      </c>
      <c r="D35" s="6" t="s">
        <v>127</v>
      </c>
      <c r="E35" s="7">
        <v>20000.0</v>
      </c>
      <c r="F35" s="6"/>
      <c r="G35" s="8" t="s">
        <v>128</v>
      </c>
    </row>
    <row r="36">
      <c r="A36" s="4">
        <v>45814.0</v>
      </c>
      <c r="B36" s="4">
        <v>45814.0</v>
      </c>
      <c r="C36" s="9" t="s">
        <v>129</v>
      </c>
      <c r="D36" s="9" t="s">
        <v>130</v>
      </c>
      <c r="E36" s="10"/>
      <c r="F36" s="7">
        <v>122850.0</v>
      </c>
      <c r="G36" s="8" t="s">
        <v>131</v>
      </c>
    </row>
    <row r="37">
      <c r="A37" s="17">
        <v>45814.0</v>
      </c>
      <c r="B37" s="17">
        <v>45814.0</v>
      </c>
      <c r="C37" s="18">
        <v>5.15741649341E11</v>
      </c>
      <c r="D37" s="6" t="s">
        <v>132</v>
      </c>
      <c r="E37" s="19">
        <v>122850.0</v>
      </c>
      <c r="F37" s="6"/>
      <c r="G37" s="8" t="s">
        <v>131</v>
      </c>
    </row>
    <row r="38">
      <c r="A38" s="4">
        <v>45814.0</v>
      </c>
      <c r="B38" s="4">
        <v>45814.0</v>
      </c>
      <c r="C38" s="5">
        <v>5.1574167904E11</v>
      </c>
      <c r="D38" s="6" t="s">
        <v>133</v>
      </c>
      <c r="E38" s="7">
        <v>2500.0</v>
      </c>
      <c r="F38" s="6"/>
      <c r="G38" s="8" t="s">
        <v>134</v>
      </c>
    </row>
    <row r="39">
      <c r="A39" s="4">
        <v>45818.0</v>
      </c>
      <c r="B39" s="4">
        <v>45818.0</v>
      </c>
      <c r="C39" s="9" t="s">
        <v>135</v>
      </c>
      <c r="D39" s="31" t="s">
        <v>136</v>
      </c>
      <c r="E39" s="10"/>
      <c r="F39" s="7">
        <v>5000.0</v>
      </c>
      <c r="G39" s="8" t="s">
        <v>137</v>
      </c>
    </row>
    <row r="40">
      <c r="A40" s="4">
        <v>45818.0</v>
      </c>
      <c r="B40" s="4">
        <v>45818.0</v>
      </c>
      <c r="C40" s="9" t="s">
        <v>138</v>
      </c>
      <c r="D40" s="31" t="s">
        <v>139</v>
      </c>
      <c r="E40" s="10"/>
      <c r="F40" s="7">
        <v>85000.0</v>
      </c>
      <c r="G40" s="8" t="s">
        <v>137</v>
      </c>
    </row>
    <row r="41">
      <c r="A41" s="4">
        <v>45818.0</v>
      </c>
      <c r="B41" s="4">
        <v>45818.0</v>
      </c>
      <c r="C41" s="5">
        <v>5.16144046302E11</v>
      </c>
      <c r="D41" s="6" t="s">
        <v>140</v>
      </c>
      <c r="E41" s="7">
        <v>4260.0</v>
      </c>
      <c r="F41" s="6"/>
      <c r="G41" s="8" t="s">
        <v>141</v>
      </c>
    </row>
    <row r="42">
      <c r="A42" s="4">
        <v>45819.0</v>
      </c>
      <c r="B42" s="4">
        <v>45819.0</v>
      </c>
      <c r="C42" s="5">
        <v>5.16244505512E11</v>
      </c>
      <c r="D42" s="6" t="s">
        <v>142</v>
      </c>
      <c r="E42" s="7">
        <v>3650.0</v>
      </c>
      <c r="F42" s="6"/>
      <c r="G42" s="8" t="s">
        <v>143</v>
      </c>
    </row>
    <row r="43">
      <c r="A43" s="4">
        <v>45823.0</v>
      </c>
      <c r="B43" s="4">
        <v>45823.0</v>
      </c>
      <c r="C43" s="5">
        <v>5.16647413993E11</v>
      </c>
      <c r="D43" s="6" t="s">
        <v>144</v>
      </c>
      <c r="E43" s="7">
        <v>1500.0</v>
      </c>
      <c r="F43" s="6"/>
      <c r="G43" s="8" t="s">
        <v>145</v>
      </c>
    </row>
    <row r="44">
      <c r="A44" s="4">
        <v>45823.0</v>
      </c>
      <c r="B44" s="4">
        <v>45823.0</v>
      </c>
      <c r="C44" s="5">
        <v>5.16647832606E11</v>
      </c>
      <c r="D44" s="32" t="s">
        <v>146</v>
      </c>
      <c r="E44" s="7">
        <v>3000.0</v>
      </c>
      <c r="F44" s="10"/>
      <c r="G44" s="8" t="s">
        <v>143</v>
      </c>
    </row>
    <row r="45">
      <c r="A45" s="10"/>
      <c r="B45" s="10"/>
      <c r="C45" s="10"/>
      <c r="D45" s="6"/>
      <c r="E45" s="10"/>
      <c r="F45" s="10"/>
      <c r="G45" s="13"/>
    </row>
    <row r="46">
      <c r="A46" s="4">
        <v>45823.0</v>
      </c>
      <c r="B46" s="4">
        <v>45823.0</v>
      </c>
      <c r="C46" s="5">
        <v>5.16647856717E11</v>
      </c>
      <c r="D46" s="6" t="s">
        <v>147</v>
      </c>
      <c r="E46" s="30">
        <v>730.0</v>
      </c>
      <c r="F46" s="6"/>
      <c r="G46" s="8" t="s">
        <v>148</v>
      </c>
    </row>
    <row r="47">
      <c r="A47" s="4">
        <v>45824.0</v>
      </c>
      <c r="B47" s="4">
        <v>45824.0</v>
      </c>
      <c r="C47" s="9" t="s">
        <v>149</v>
      </c>
      <c r="D47" s="9" t="s">
        <v>150</v>
      </c>
      <c r="E47" s="10"/>
      <c r="F47" s="7">
        <v>184128.0</v>
      </c>
      <c r="G47" s="8" t="s">
        <v>151</v>
      </c>
    </row>
    <row r="48">
      <c r="A48" s="4">
        <v>45826.0</v>
      </c>
      <c r="B48" s="4">
        <v>45826.0</v>
      </c>
      <c r="C48" s="5">
        <v>5.169501627E11</v>
      </c>
      <c r="D48" s="6" t="s">
        <v>152</v>
      </c>
      <c r="E48" s="7">
        <v>50008.0</v>
      </c>
      <c r="F48" s="6"/>
      <c r="G48" s="8" t="s">
        <v>153</v>
      </c>
    </row>
    <row r="49">
      <c r="A49" s="17">
        <v>45826.0</v>
      </c>
      <c r="B49" s="17">
        <v>45826.0</v>
      </c>
      <c r="C49" s="33" t="s">
        <v>154</v>
      </c>
      <c r="D49" s="34" t="s">
        <v>155</v>
      </c>
      <c r="E49" s="6"/>
      <c r="F49" s="19">
        <v>45000.0</v>
      </c>
      <c r="G49" s="8" t="s">
        <v>156</v>
      </c>
    </row>
    <row r="50">
      <c r="A50" s="4">
        <v>45827.0</v>
      </c>
      <c r="B50" s="4">
        <v>45827.0</v>
      </c>
      <c r="C50" s="5">
        <v>5.1705108095E11</v>
      </c>
      <c r="D50" s="6" t="s">
        <v>157</v>
      </c>
      <c r="E50" s="7">
        <v>1500.0</v>
      </c>
      <c r="F50" s="6"/>
      <c r="G50" s="8" t="s">
        <v>158</v>
      </c>
    </row>
    <row r="51">
      <c r="A51" s="4">
        <v>45828.0</v>
      </c>
      <c r="B51" s="4">
        <v>45828.0</v>
      </c>
      <c r="C51" s="5">
        <v>5.17105974575E11</v>
      </c>
      <c r="D51" s="9" t="s">
        <v>159</v>
      </c>
      <c r="E51" s="7">
        <v>1768.0</v>
      </c>
      <c r="F51" s="10"/>
      <c r="G51" s="8" t="s">
        <v>160</v>
      </c>
    </row>
    <row r="52">
      <c r="A52" s="4">
        <v>45831.0</v>
      </c>
      <c r="B52" s="4">
        <v>45831.0</v>
      </c>
      <c r="C52" s="5">
        <v>5.17455444436E11</v>
      </c>
      <c r="D52" s="6" t="s">
        <v>161</v>
      </c>
      <c r="E52" s="7">
        <v>10000.0</v>
      </c>
      <c r="F52" s="6"/>
      <c r="G52" s="8" t="s">
        <v>162</v>
      </c>
    </row>
    <row r="53">
      <c r="A53" s="4">
        <v>45833.0</v>
      </c>
      <c r="B53" s="4">
        <v>45833.0</v>
      </c>
      <c r="C53" s="5">
        <v>5.17656312573E11</v>
      </c>
      <c r="D53" s="6" t="s">
        <v>163</v>
      </c>
      <c r="E53" s="7">
        <v>1132.0</v>
      </c>
      <c r="F53" s="6"/>
      <c r="G53" s="8" t="s">
        <v>164</v>
      </c>
    </row>
    <row r="54">
      <c r="A54" s="4">
        <v>45834.0</v>
      </c>
      <c r="B54" s="4">
        <v>45834.0</v>
      </c>
      <c r="C54" s="9" t="s">
        <v>165</v>
      </c>
      <c r="D54" s="6" t="s">
        <v>166</v>
      </c>
      <c r="E54" s="10"/>
      <c r="F54" s="7">
        <v>72922.0</v>
      </c>
      <c r="G54" s="8" t="s">
        <v>167</v>
      </c>
    </row>
    <row r="55">
      <c r="A55" s="4">
        <v>45839.0</v>
      </c>
      <c r="B55" s="4">
        <v>45839.0</v>
      </c>
      <c r="C55" s="5">
        <v>5.18259010386E11</v>
      </c>
      <c r="D55" s="6" t="s">
        <v>168</v>
      </c>
      <c r="E55" s="30">
        <v>700.0</v>
      </c>
      <c r="F55" s="6"/>
      <c r="G55" s="8" t="s">
        <v>164</v>
      </c>
    </row>
    <row r="56">
      <c r="A56" s="4">
        <v>45839.0</v>
      </c>
      <c r="B56" s="4">
        <v>45839.0</v>
      </c>
      <c r="C56" s="5">
        <v>5.18259032304E11</v>
      </c>
      <c r="D56" s="6" t="s">
        <v>169</v>
      </c>
      <c r="E56" s="30">
        <v>300.0</v>
      </c>
      <c r="F56" s="6"/>
      <c r="G56" s="8" t="s">
        <v>170</v>
      </c>
    </row>
    <row r="57">
      <c r="A57" s="4">
        <v>45840.0</v>
      </c>
      <c r="B57" s="4">
        <v>45840.0</v>
      </c>
      <c r="C57" s="5">
        <v>5.18359419816E11</v>
      </c>
      <c r="D57" s="6" t="s">
        <v>171</v>
      </c>
      <c r="E57" s="7">
        <v>50000.0</v>
      </c>
      <c r="F57" s="6"/>
      <c r="G57" s="8" t="s">
        <v>131</v>
      </c>
    </row>
    <row r="58">
      <c r="A58" s="4">
        <v>45841.0</v>
      </c>
      <c r="B58" s="4">
        <v>45841.0</v>
      </c>
      <c r="C58" s="5">
        <v>5.18460024631E11</v>
      </c>
      <c r="D58" s="6" t="s">
        <v>172</v>
      </c>
      <c r="E58" s="7">
        <v>20000.0</v>
      </c>
      <c r="F58" s="6"/>
      <c r="G58" s="8" t="s">
        <v>173</v>
      </c>
    </row>
    <row r="59">
      <c r="A59" s="4">
        <v>45841.0</v>
      </c>
      <c r="B59" s="4">
        <v>45841.0</v>
      </c>
      <c r="C59" s="5">
        <v>5.18460041339E11</v>
      </c>
      <c r="D59" s="6" t="s">
        <v>174</v>
      </c>
      <c r="E59" s="7">
        <v>20000.0</v>
      </c>
      <c r="F59" s="6"/>
      <c r="G59" s="8" t="s">
        <v>175</v>
      </c>
    </row>
    <row r="60">
      <c r="A60" s="4">
        <v>45843.0</v>
      </c>
      <c r="B60" s="4">
        <v>45843.0</v>
      </c>
      <c r="C60" s="5">
        <v>5.18660657697E11</v>
      </c>
      <c r="D60" s="6" t="s">
        <v>176</v>
      </c>
      <c r="E60" s="7">
        <v>1040.0</v>
      </c>
      <c r="F60" s="6"/>
      <c r="G60" s="8" t="s">
        <v>170</v>
      </c>
    </row>
    <row r="61">
      <c r="A61" s="4">
        <v>45843.0</v>
      </c>
      <c r="B61" s="4">
        <v>45843.0</v>
      </c>
      <c r="C61" s="5">
        <v>5.18660658571E11</v>
      </c>
      <c r="D61" s="6" t="s">
        <v>177</v>
      </c>
      <c r="E61" s="30">
        <v>500.0</v>
      </c>
      <c r="F61" s="6"/>
      <c r="G61" s="8" t="s">
        <v>178</v>
      </c>
    </row>
    <row r="62">
      <c r="A62" s="4">
        <v>45844.0</v>
      </c>
      <c r="B62" s="4">
        <v>45844.0</v>
      </c>
      <c r="C62" s="5">
        <v>5.18761361171E11</v>
      </c>
      <c r="D62" s="6" t="s">
        <v>179</v>
      </c>
      <c r="E62" s="30">
        <v>245.0</v>
      </c>
      <c r="F62" s="6"/>
      <c r="G62" s="8" t="s">
        <v>17</v>
      </c>
    </row>
    <row r="63">
      <c r="A63" s="4">
        <v>45845.0</v>
      </c>
      <c r="B63" s="4">
        <v>45845.0</v>
      </c>
      <c r="C63" s="5">
        <v>5.1886163837E11</v>
      </c>
      <c r="D63" s="6" t="s">
        <v>180</v>
      </c>
      <c r="E63" s="7">
        <v>5000.0</v>
      </c>
      <c r="F63" s="6"/>
      <c r="G63" s="8" t="s">
        <v>181</v>
      </c>
    </row>
    <row r="64">
      <c r="A64" s="4">
        <v>45846.0</v>
      </c>
      <c r="B64" s="4">
        <v>45846.0</v>
      </c>
      <c r="C64" s="5">
        <v>5.18962093046E11</v>
      </c>
      <c r="D64" s="6" t="s">
        <v>182</v>
      </c>
      <c r="E64" s="7">
        <v>25000.0</v>
      </c>
      <c r="F64" s="6"/>
      <c r="G64" s="8" t="s">
        <v>183</v>
      </c>
    </row>
    <row r="65">
      <c r="A65" s="4">
        <v>45850.0</v>
      </c>
      <c r="B65" s="4">
        <v>45850.0</v>
      </c>
      <c r="C65" s="5">
        <v>5.19363816286E11</v>
      </c>
      <c r="D65" s="6" t="s">
        <v>184</v>
      </c>
      <c r="E65" s="7">
        <v>56000.0</v>
      </c>
      <c r="F65" s="6"/>
      <c r="G65" s="8" t="s">
        <v>185</v>
      </c>
    </row>
    <row r="66">
      <c r="A66" s="4">
        <v>45851.0</v>
      </c>
      <c r="B66" s="4">
        <v>45851.0</v>
      </c>
      <c r="C66" s="5">
        <v>5.194641342E11</v>
      </c>
      <c r="D66" s="6" t="s">
        <v>186</v>
      </c>
      <c r="E66" s="7">
        <v>314731.2</v>
      </c>
      <c r="F66" s="6"/>
      <c r="G66" s="8" t="s">
        <v>187</v>
      </c>
    </row>
    <row r="67">
      <c r="A67" s="4">
        <v>45852.0</v>
      </c>
      <c r="B67" s="4">
        <v>45852.0</v>
      </c>
      <c r="C67" s="5">
        <v>5.19564579364E11</v>
      </c>
      <c r="D67" s="6" t="s">
        <v>188</v>
      </c>
      <c r="E67" s="7">
        <v>2500.0</v>
      </c>
      <c r="F67" s="6"/>
      <c r="G67" s="8" t="s">
        <v>189</v>
      </c>
    </row>
    <row r="68">
      <c r="A68" s="4">
        <v>45852.0</v>
      </c>
      <c r="B68" s="4">
        <v>45852.0</v>
      </c>
      <c r="C68" s="9" t="s">
        <v>190</v>
      </c>
      <c r="D68" s="9" t="s">
        <v>191</v>
      </c>
      <c r="E68" s="10"/>
      <c r="F68" s="7">
        <v>74000.0</v>
      </c>
      <c r="G68" s="8" t="s">
        <v>192</v>
      </c>
    </row>
    <row r="69">
      <c r="A69" s="4">
        <v>45853.0</v>
      </c>
      <c r="B69" s="4">
        <v>45853.0</v>
      </c>
      <c r="C69" s="5">
        <v>5.19664957769E11</v>
      </c>
      <c r="D69" s="6" t="s">
        <v>193</v>
      </c>
      <c r="E69" s="7">
        <v>110562.0</v>
      </c>
      <c r="F69" s="6"/>
      <c r="G69" s="8" t="s">
        <v>194</v>
      </c>
    </row>
    <row r="70">
      <c r="A70" s="4">
        <v>45854.0</v>
      </c>
      <c r="B70" s="4">
        <v>45854.0</v>
      </c>
      <c r="C70" s="5">
        <v>5.1976527368E11</v>
      </c>
      <c r="D70" s="6" t="s">
        <v>195</v>
      </c>
      <c r="E70" s="7">
        <v>5000.0</v>
      </c>
      <c r="F70" s="6"/>
      <c r="G70" s="8" t="s">
        <v>196</v>
      </c>
    </row>
    <row r="71">
      <c r="A71" s="4">
        <v>45854.0</v>
      </c>
      <c r="B71" s="4">
        <v>45854.0</v>
      </c>
      <c r="C71" s="9" t="s">
        <v>197</v>
      </c>
      <c r="D71" s="9" t="s">
        <v>198</v>
      </c>
      <c r="E71" s="10"/>
      <c r="F71" s="7">
        <v>110562.0</v>
      </c>
      <c r="G71" s="8" t="s">
        <v>194</v>
      </c>
    </row>
    <row r="72">
      <c r="A72" s="4">
        <v>45855.0</v>
      </c>
      <c r="B72" s="4">
        <v>45855.0</v>
      </c>
      <c r="C72" s="5">
        <v>5.19865972312E11</v>
      </c>
      <c r="D72" s="6" t="s">
        <v>199</v>
      </c>
      <c r="E72" s="7">
        <v>108120.0</v>
      </c>
      <c r="F72" s="6"/>
      <c r="G72" s="8" t="s">
        <v>200</v>
      </c>
    </row>
    <row r="73">
      <c r="A73" s="4">
        <v>45857.0</v>
      </c>
      <c r="B73" s="4">
        <v>45857.0</v>
      </c>
      <c r="C73" s="5">
        <v>5.20066653986E11</v>
      </c>
      <c r="D73" s="6" t="s">
        <v>201</v>
      </c>
      <c r="E73" s="7">
        <v>5000.0</v>
      </c>
      <c r="F73" s="6"/>
      <c r="G73" s="8" t="s">
        <v>202</v>
      </c>
    </row>
    <row r="74">
      <c r="A74" s="4">
        <v>45859.0</v>
      </c>
      <c r="B74" s="4">
        <v>45859.0</v>
      </c>
      <c r="C74" s="5">
        <v>5.20267650069E11</v>
      </c>
      <c r="D74" s="6" t="s">
        <v>203</v>
      </c>
      <c r="E74" s="7">
        <v>25000.0</v>
      </c>
      <c r="F74" s="6"/>
      <c r="G74" s="8" t="s">
        <v>204</v>
      </c>
    </row>
    <row r="75">
      <c r="A75" s="4">
        <v>45861.0</v>
      </c>
      <c r="B75" s="4">
        <v>45861.0</v>
      </c>
      <c r="C75" s="5">
        <v>5.20468097902E11</v>
      </c>
      <c r="D75" s="6" t="s">
        <v>205</v>
      </c>
      <c r="E75" s="7">
        <v>31797.0</v>
      </c>
      <c r="F75" s="6"/>
      <c r="G75" s="8" t="s">
        <v>206</v>
      </c>
    </row>
    <row r="76">
      <c r="A76" s="4">
        <v>45861.0</v>
      </c>
      <c r="B76" s="4">
        <v>45861.0</v>
      </c>
      <c r="C76" s="5">
        <v>5.20468100168E11</v>
      </c>
      <c r="D76" s="6" t="s">
        <v>207</v>
      </c>
      <c r="E76" s="7">
        <v>24662.0</v>
      </c>
      <c r="F76" s="6"/>
      <c r="G76" s="8" t="s">
        <v>208</v>
      </c>
    </row>
    <row r="77">
      <c r="A77" s="4">
        <v>45869.0</v>
      </c>
      <c r="B77" s="4">
        <v>45869.0</v>
      </c>
      <c r="C77" s="5">
        <v>5.21273621684E11</v>
      </c>
      <c r="D77" s="9" t="s">
        <v>209</v>
      </c>
      <c r="E77" s="7">
        <v>7500.0</v>
      </c>
      <c r="F77" s="10"/>
      <c r="G77" s="8" t="s">
        <v>210</v>
      </c>
    </row>
    <row r="78">
      <c r="A78" s="10"/>
      <c r="B78" s="10"/>
      <c r="C78" s="10"/>
      <c r="D78" s="9" t="s">
        <v>211</v>
      </c>
      <c r="E78" s="10"/>
      <c r="F78" s="10"/>
      <c r="G78" s="13"/>
    </row>
    <row r="79">
      <c r="A79" s="4">
        <v>45869.0</v>
      </c>
      <c r="B79" s="4">
        <v>45869.0</v>
      </c>
      <c r="C79" s="9" t="s">
        <v>212</v>
      </c>
      <c r="D79" s="6" t="s">
        <v>213</v>
      </c>
      <c r="E79" s="10"/>
      <c r="F79" s="7">
        <v>3500.0</v>
      </c>
      <c r="G79" s="8" t="s">
        <v>214</v>
      </c>
    </row>
    <row r="80">
      <c r="A80" s="4">
        <v>45869.0</v>
      </c>
      <c r="B80" s="4">
        <v>45869.0</v>
      </c>
      <c r="C80" s="5">
        <v>5.21273835561E11</v>
      </c>
      <c r="D80" s="6" t="s">
        <v>215</v>
      </c>
      <c r="E80" s="30">
        <v>658.0</v>
      </c>
      <c r="F80" s="6"/>
      <c r="G80" s="8" t="s">
        <v>216</v>
      </c>
    </row>
    <row r="81" ht="18.75" customHeight="1">
      <c r="A81" s="35">
        <v>45871.0</v>
      </c>
      <c r="B81" s="35">
        <v>45871.0</v>
      </c>
      <c r="C81" s="36" t="s">
        <v>217</v>
      </c>
      <c r="D81" s="36" t="s">
        <v>218</v>
      </c>
      <c r="E81" s="37"/>
      <c r="F81" s="38">
        <v>73830.0</v>
      </c>
      <c r="G81" s="8" t="s">
        <v>219</v>
      </c>
    </row>
    <row r="82">
      <c r="A82" s="35">
        <v>45873.0</v>
      </c>
      <c r="B82" s="35">
        <v>45873.0</v>
      </c>
      <c r="C82" s="39">
        <v>5.21675688567E11</v>
      </c>
      <c r="D82" s="37" t="s">
        <v>220</v>
      </c>
      <c r="E82" s="38">
        <v>56560.0</v>
      </c>
      <c r="F82" s="37"/>
      <c r="G82" s="8" t="s">
        <v>221</v>
      </c>
    </row>
    <row r="83">
      <c r="A83" s="35">
        <v>45873.0</v>
      </c>
      <c r="B83" s="35">
        <v>45873.0</v>
      </c>
      <c r="C83" s="39">
        <v>5.2167576265E11</v>
      </c>
      <c r="D83" s="37" t="s">
        <v>222</v>
      </c>
      <c r="E83" s="40">
        <v>480.0</v>
      </c>
      <c r="F83" s="37"/>
      <c r="G83" s="8" t="s">
        <v>223</v>
      </c>
    </row>
    <row r="84">
      <c r="A84" s="35">
        <v>45874.0</v>
      </c>
      <c r="B84" s="35">
        <v>45874.0</v>
      </c>
      <c r="C84" s="36" t="s">
        <v>224</v>
      </c>
      <c r="D84" s="41" t="s">
        <v>225</v>
      </c>
      <c r="E84" s="42"/>
      <c r="F84" s="38">
        <v>50000.0</v>
      </c>
      <c r="G84" s="8" t="s">
        <v>226</v>
      </c>
    </row>
    <row r="85">
      <c r="A85" s="35">
        <v>45874.0</v>
      </c>
      <c r="B85" s="35">
        <v>45874.0</v>
      </c>
      <c r="C85" s="36" t="s">
        <v>227</v>
      </c>
      <c r="D85" s="41" t="s">
        <v>228</v>
      </c>
      <c r="E85" s="42"/>
      <c r="F85" s="38">
        <v>50000.0</v>
      </c>
      <c r="G85" s="8" t="s">
        <v>226</v>
      </c>
    </row>
    <row r="86">
      <c r="A86" s="35">
        <v>45874.0</v>
      </c>
      <c r="B86" s="35">
        <v>45874.0</v>
      </c>
      <c r="C86" s="39">
        <v>5.21776030514E11</v>
      </c>
      <c r="D86" s="37" t="s">
        <v>229</v>
      </c>
      <c r="E86" s="38">
        <v>38000.0</v>
      </c>
      <c r="F86" s="37"/>
      <c r="G86" s="8" t="s">
        <v>230</v>
      </c>
    </row>
    <row r="87">
      <c r="A87" s="35">
        <v>45875.0</v>
      </c>
      <c r="B87" s="35">
        <v>45875.0</v>
      </c>
      <c r="C87" s="36" t="s">
        <v>231</v>
      </c>
      <c r="D87" s="41" t="s">
        <v>232</v>
      </c>
      <c r="E87" s="42"/>
      <c r="F87" s="38">
        <v>50000.0</v>
      </c>
      <c r="G87" s="8" t="s">
        <v>226</v>
      </c>
    </row>
    <row r="88">
      <c r="A88" s="35">
        <v>45875.0</v>
      </c>
      <c r="B88" s="35">
        <v>45875.0</v>
      </c>
      <c r="C88" s="36" t="s">
        <v>233</v>
      </c>
      <c r="D88" s="41" t="s">
        <v>234</v>
      </c>
      <c r="E88" s="42"/>
      <c r="F88" s="38">
        <v>50000.0</v>
      </c>
      <c r="G88" s="8" t="s">
        <v>226</v>
      </c>
    </row>
    <row r="89">
      <c r="A89" s="35">
        <v>45875.0</v>
      </c>
      <c r="B89" s="35">
        <v>45875.0</v>
      </c>
      <c r="C89" s="39">
        <v>5.21876840595E11</v>
      </c>
      <c r="D89" s="37" t="s">
        <v>235</v>
      </c>
      <c r="E89" s="38">
        <v>6500.0</v>
      </c>
      <c r="F89" s="37"/>
      <c r="G89" s="8" t="s">
        <v>236</v>
      </c>
    </row>
    <row r="90">
      <c r="A90" s="35">
        <v>45875.0</v>
      </c>
      <c r="B90" s="35">
        <v>45875.0</v>
      </c>
      <c r="C90" s="39">
        <v>5.21876842564E11</v>
      </c>
      <c r="D90" s="37" t="s">
        <v>237</v>
      </c>
      <c r="E90" s="38">
        <v>156594.0</v>
      </c>
      <c r="F90" s="37"/>
      <c r="G90" s="8" t="s">
        <v>238</v>
      </c>
    </row>
    <row r="91">
      <c r="A91" s="35">
        <v>45875.0</v>
      </c>
      <c r="B91" s="35">
        <v>45875.0</v>
      </c>
      <c r="C91" s="39">
        <v>5.21876843243E11</v>
      </c>
      <c r="D91" s="37" t="s">
        <v>239</v>
      </c>
      <c r="E91" s="38">
        <v>15000.0</v>
      </c>
      <c r="F91" s="37"/>
      <c r="G91" s="8" t="s">
        <v>240</v>
      </c>
    </row>
    <row r="92">
      <c r="A92" s="35">
        <v>45876.0</v>
      </c>
      <c r="B92" s="35">
        <v>45876.0</v>
      </c>
      <c r="C92" s="36" t="s">
        <v>241</v>
      </c>
      <c r="D92" s="41" t="s">
        <v>242</v>
      </c>
      <c r="E92" s="42"/>
      <c r="F92" s="38">
        <v>50000.0</v>
      </c>
      <c r="G92" s="8" t="s">
        <v>226</v>
      </c>
    </row>
    <row r="93">
      <c r="A93" s="35">
        <v>45876.0</v>
      </c>
      <c r="B93" s="35">
        <v>45876.0</v>
      </c>
      <c r="C93" s="36" t="s">
        <v>243</v>
      </c>
      <c r="D93" s="41" t="s">
        <v>244</v>
      </c>
      <c r="E93" s="42"/>
      <c r="F93" s="38">
        <v>50000.0</v>
      </c>
      <c r="G93" s="8" t="s">
        <v>226</v>
      </c>
    </row>
    <row r="94">
      <c r="A94" s="43">
        <v>45876.0</v>
      </c>
      <c r="B94" s="43">
        <v>45876.0</v>
      </c>
      <c r="C94" s="44">
        <v>5.2197724633E11</v>
      </c>
      <c r="D94" s="37" t="s">
        <v>245</v>
      </c>
      <c r="E94" s="45">
        <v>102887.0</v>
      </c>
      <c r="F94" s="37"/>
      <c r="G94" s="8" t="s">
        <v>246</v>
      </c>
    </row>
    <row r="95">
      <c r="A95" s="43">
        <v>45876.0</v>
      </c>
      <c r="B95" s="43">
        <v>45876.0</v>
      </c>
      <c r="C95" s="46" t="s">
        <v>247</v>
      </c>
      <c r="D95" s="37" t="s">
        <v>248</v>
      </c>
      <c r="E95" s="37"/>
      <c r="F95" s="45">
        <v>102887.0</v>
      </c>
      <c r="G95" s="8" t="s">
        <v>246</v>
      </c>
    </row>
    <row r="96">
      <c r="A96" s="35">
        <v>45877.0</v>
      </c>
      <c r="B96" s="35">
        <v>45877.0</v>
      </c>
      <c r="C96" s="36" t="s">
        <v>249</v>
      </c>
      <c r="D96" s="41" t="s">
        <v>250</v>
      </c>
      <c r="E96" s="42"/>
      <c r="F96" s="38">
        <v>50000.0</v>
      </c>
      <c r="G96" s="8" t="s">
        <v>226</v>
      </c>
    </row>
    <row r="97">
      <c r="A97" s="35">
        <v>45877.0</v>
      </c>
      <c r="B97" s="35">
        <v>45877.0</v>
      </c>
      <c r="C97" s="36" t="s">
        <v>251</v>
      </c>
      <c r="D97" s="41" t="s">
        <v>252</v>
      </c>
      <c r="E97" s="42"/>
      <c r="F97" s="38">
        <v>50000.0</v>
      </c>
      <c r="G97" s="8" t="s">
        <v>226</v>
      </c>
    </row>
    <row r="98">
      <c r="A98" s="35">
        <v>45877.0</v>
      </c>
      <c r="B98" s="35">
        <v>45877.0</v>
      </c>
      <c r="C98" s="39">
        <v>5.22078049986E11</v>
      </c>
      <c r="D98" s="37" t="s">
        <v>253</v>
      </c>
      <c r="E98" s="38">
        <v>132887.0</v>
      </c>
      <c r="F98" s="37"/>
      <c r="G98" s="8" t="s">
        <v>254</v>
      </c>
    </row>
    <row r="99">
      <c r="A99" s="35">
        <v>45877.0</v>
      </c>
      <c r="B99" s="35">
        <v>45877.0</v>
      </c>
      <c r="C99" s="39">
        <v>5.22078187397E11</v>
      </c>
      <c r="D99" s="47" t="s">
        <v>255</v>
      </c>
      <c r="E99" s="38">
        <v>3472.0</v>
      </c>
      <c r="F99" s="37"/>
      <c r="G99" s="8" t="s">
        <v>256</v>
      </c>
    </row>
    <row r="100">
      <c r="A100" s="35">
        <v>45878.0</v>
      </c>
      <c r="B100" s="35">
        <v>45878.0</v>
      </c>
      <c r="C100" s="36" t="s">
        <v>257</v>
      </c>
      <c r="D100" s="41" t="s">
        <v>258</v>
      </c>
      <c r="E100" s="42"/>
      <c r="F100" s="38">
        <v>50000.0</v>
      </c>
      <c r="G100" s="8" t="s">
        <v>226</v>
      </c>
    </row>
    <row r="101">
      <c r="A101" s="35">
        <v>45878.0</v>
      </c>
      <c r="B101" s="35">
        <v>45878.0</v>
      </c>
      <c r="C101" s="36" t="s">
        <v>259</v>
      </c>
      <c r="D101" s="41" t="s">
        <v>260</v>
      </c>
      <c r="E101" s="42"/>
      <c r="F101" s="38">
        <v>50000.0</v>
      </c>
      <c r="G101" s="8" t="s">
        <v>226</v>
      </c>
    </row>
    <row r="102">
      <c r="A102" s="35">
        <v>45880.0</v>
      </c>
      <c r="B102" s="35">
        <v>45880.0</v>
      </c>
      <c r="C102" s="36" t="s">
        <v>261</v>
      </c>
      <c r="D102" s="36" t="s">
        <v>262</v>
      </c>
      <c r="E102" s="42"/>
      <c r="F102" s="38">
        <v>35403.0</v>
      </c>
      <c r="G102" s="8" t="s">
        <v>263</v>
      </c>
    </row>
    <row r="103">
      <c r="A103" s="35">
        <v>45881.0</v>
      </c>
      <c r="B103" s="35">
        <v>45881.0</v>
      </c>
      <c r="C103" s="39">
        <v>5.22480122127E11</v>
      </c>
      <c r="D103" s="37" t="s">
        <v>264</v>
      </c>
      <c r="E103" s="38">
        <v>10397.0</v>
      </c>
      <c r="F103" s="37"/>
      <c r="G103" s="8" t="s">
        <v>265</v>
      </c>
    </row>
    <row r="104">
      <c r="A104" s="35">
        <v>45881.0</v>
      </c>
      <c r="B104" s="35">
        <v>45881.0</v>
      </c>
      <c r="C104" s="39">
        <v>5.22480133383E11</v>
      </c>
      <c r="D104" s="37" t="s">
        <v>266</v>
      </c>
      <c r="E104" s="38">
        <v>23156.0</v>
      </c>
      <c r="F104" s="37"/>
      <c r="G104" s="8" t="s">
        <v>263</v>
      </c>
    </row>
    <row r="105">
      <c r="A105" s="35">
        <v>45881.0</v>
      </c>
      <c r="B105" s="35">
        <v>45881.0</v>
      </c>
      <c r="C105" s="39">
        <v>5.22480213755E11</v>
      </c>
      <c r="D105" s="37" t="s">
        <v>267</v>
      </c>
      <c r="E105" s="38">
        <v>11000.0</v>
      </c>
      <c r="F105" s="37"/>
      <c r="G105" s="8" t="s">
        <v>263</v>
      </c>
    </row>
    <row r="106">
      <c r="A106" s="35">
        <v>45881.0</v>
      </c>
      <c r="B106" s="35">
        <v>45881.0</v>
      </c>
      <c r="C106" s="48">
        <v>8.1213426353E10</v>
      </c>
      <c r="D106" s="36" t="s">
        <v>268</v>
      </c>
      <c r="E106" s="40">
        <v>2.0</v>
      </c>
      <c r="F106" s="42"/>
      <c r="G106" s="8" t="s">
        <v>269</v>
      </c>
    </row>
    <row r="107">
      <c r="A107" s="35">
        <v>45883.0</v>
      </c>
      <c r="B107" s="35">
        <v>45883.0</v>
      </c>
      <c r="C107" s="48">
        <v>8.1213426353E10</v>
      </c>
      <c r="D107" s="36" t="s">
        <v>270</v>
      </c>
      <c r="E107" s="42"/>
      <c r="F107" s="40">
        <v>2.0</v>
      </c>
      <c r="G107" s="8" t="s">
        <v>269</v>
      </c>
    </row>
    <row r="108">
      <c r="A108" s="35">
        <v>45889.0</v>
      </c>
      <c r="B108" s="35">
        <v>45889.0</v>
      </c>
      <c r="C108" s="48">
        <v>8.2012855261E10</v>
      </c>
      <c r="D108" s="36" t="s">
        <v>271</v>
      </c>
      <c r="E108" s="40">
        <v>200.0</v>
      </c>
      <c r="F108" s="42"/>
      <c r="G108" s="8" t="s">
        <v>272</v>
      </c>
    </row>
    <row r="109">
      <c r="A109" s="35">
        <v>45889.0</v>
      </c>
      <c r="B109" s="35">
        <v>45889.0</v>
      </c>
      <c r="C109" s="48">
        <v>8.2012873681E10</v>
      </c>
      <c r="D109" s="36" t="s">
        <v>273</v>
      </c>
      <c r="E109" s="38">
        <v>1860.0</v>
      </c>
      <c r="F109" s="42"/>
      <c r="G109" s="8" t="s">
        <v>274</v>
      </c>
    </row>
    <row r="110">
      <c r="A110" s="35">
        <v>45895.0</v>
      </c>
      <c r="B110" s="35">
        <v>45895.0</v>
      </c>
      <c r="C110" s="36" t="s">
        <v>275</v>
      </c>
      <c r="D110" s="36" t="s">
        <v>276</v>
      </c>
      <c r="E110" s="42"/>
      <c r="F110" s="38">
        <v>276192.0</v>
      </c>
      <c r="G110" s="8" t="s">
        <v>277</v>
      </c>
    </row>
    <row r="111">
      <c r="A111" s="35">
        <v>45898.0</v>
      </c>
      <c r="B111" s="35">
        <v>45898.0</v>
      </c>
      <c r="C111" s="36" t="s">
        <v>278</v>
      </c>
      <c r="D111" s="36" t="s">
        <v>279</v>
      </c>
      <c r="E111" s="37"/>
      <c r="F111" s="38">
        <v>168240.0</v>
      </c>
      <c r="G111" s="8" t="s">
        <v>280</v>
      </c>
    </row>
    <row r="112">
      <c r="A112" s="35">
        <v>45903.0</v>
      </c>
      <c r="B112" s="35">
        <v>45903.0</v>
      </c>
      <c r="C112" s="48">
        <v>9.0311468357E10</v>
      </c>
      <c r="D112" s="36" t="s">
        <v>281</v>
      </c>
      <c r="E112" s="38">
        <v>2125.0</v>
      </c>
      <c r="F112" s="42"/>
      <c r="G112" s="8" t="s">
        <v>282</v>
      </c>
    </row>
    <row r="113">
      <c r="A113" s="35">
        <v>45913.0</v>
      </c>
      <c r="B113" s="35">
        <v>45913.0</v>
      </c>
      <c r="C113" s="39">
        <v>5.25698072982E11</v>
      </c>
      <c r="D113" s="37" t="s">
        <v>283</v>
      </c>
      <c r="E113" s="38">
        <v>5080.0</v>
      </c>
      <c r="F113" s="37"/>
      <c r="G113" s="8" t="s">
        <v>284</v>
      </c>
    </row>
    <row r="114">
      <c r="A114" s="35">
        <v>45913.0</v>
      </c>
      <c r="B114" s="35">
        <v>45913.0</v>
      </c>
      <c r="C114" s="39">
        <v>5.25698272622E11</v>
      </c>
      <c r="D114" s="37" t="s">
        <v>285</v>
      </c>
      <c r="E114" s="40">
        <v>500.0</v>
      </c>
      <c r="F114" s="37"/>
      <c r="G114" s="8" t="s">
        <v>178</v>
      </c>
    </row>
    <row r="115">
      <c r="A115" s="35">
        <v>45914.0</v>
      </c>
      <c r="B115" s="35">
        <v>45914.0</v>
      </c>
      <c r="C115" s="48">
        <v>9.1413450249E10</v>
      </c>
      <c r="D115" s="36" t="s">
        <v>286</v>
      </c>
      <c r="E115" s="38">
        <v>1270.55</v>
      </c>
      <c r="F115" s="42"/>
      <c r="G115" s="8" t="s">
        <v>269</v>
      </c>
    </row>
    <row r="116">
      <c r="A116" s="35">
        <v>45920.0</v>
      </c>
      <c r="B116" s="35">
        <v>45920.0</v>
      </c>
      <c r="C116" s="39">
        <v>5.26306439044E11</v>
      </c>
      <c r="D116" s="36" t="s">
        <v>287</v>
      </c>
      <c r="E116" s="38">
        <v>4716.0</v>
      </c>
      <c r="F116" s="42"/>
      <c r="G116" s="8" t="s">
        <v>288</v>
      </c>
    </row>
    <row r="117">
      <c r="A117" s="35">
        <v>45920.0</v>
      </c>
      <c r="B117" s="35">
        <v>45920.0</v>
      </c>
      <c r="C117" s="48">
        <v>9.204905322E10</v>
      </c>
      <c r="D117" s="36" t="s">
        <v>289</v>
      </c>
      <c r="E117" s="40">
        <v>399.0</v>
      </c>
      <c r="F117" s="42"/>
      <c r="G117" s="8" t="s">
        <v>290</v>
      </c>
    </row>
    <row r="118">
      <c r="A118" s="35">
        <v>45921.0</v>
      </c>
      <c r="B118" s="35">
        <v>45921.0</v>
      </c>
      <c r="C118" s="39">
        <v>5.26433353103E11</v>
      </c>
      <c r="D118" s="37" t="s">
        <v>291</v>
      </c>
      <c r="E118" s="38">
        <v>3700.0</v>
      </c>
      <c r="F118" s="37"/>
      <c r="G118" s="8" t="s">
        <v>292</v>
      </c>
    </row>
    <row r="119">
      <c r="A119" s="35">
        <v>45921.0</v>
      </c>
      <c r="B119" s="35">
        <v>45921.0</v>
      </c>
      <c r="C119" s="39">
        <v>5.26433384771E11</v>
      </c>
      <c r="D119" s="36" t="s">
        <v>293</v>
      </c>
      <c r="E119" s="40">
        <v>660.0</v>
      </c>
      <c r="F119" s="37"/>
      <c r="G119" s="8" t="s">
        <v>294</v>
      </c>
    </row>
    <row r="120">
      <c r="A120" s="35">
        <v>45922.0</v>
      </c>
      <c r="B120" s="35">
        <v>45922.0</v>
      </c>
      <c r="C120" s="39">
        <v>5.2653420075E11</v>
      </c>
      <c r="D120" s="37" t="s">
        <v>295</v>
      </c>
      <c r="E120" s="38">
        <v>15001.0</v>
      </c>
      <c r="F120" s="37"/>
      <c r="G120" s="8" t="s">
        <v>296</v>
      </c>
      <c r="H120" s="20"/>
    </row>
    <row r="121">
      <c r="A121" s="35">
        <v>45923.0</v>
      </c>
      <c r="B121" s="35">
        <v>45923.0</v>
      </c>
      <c r="C121" s="36" t="s">
        <v>297</v>
      </c>
      <c r="D121" s="41" t="s">
        <v>298</v>
      </c>
      <c r="E121" s="42"/>
      <c r="F121" s="38">
        <v>50000.0</v>
      </c>
      <c r="G121" s="8" t="s">
        <v>299</v>
      </c>
    </row>
    <row r="122">
      <c r="A122" s="35">
        <v>45923.0</v>
      </c>
      <c r="B122" s="35">
        <v>45923.0</v>
      </c>
      <c r="C122" s="36" t="s">
        <v>300</v>
      </c>
      <c r="D122" s="36" t="s">
        <v>301</v>
      </c>
      <c r="E122" s="42"/>
      <c r="F122" s="38">
        <v>276000.0</v>
      </c>
      <c r="G122" s="8" t="s">
        <v>277</v>
      </c>
    </row>
    <row r="123">
      <c r="A123" s="35">
        <v>45924.0</v>
      </c>
      <c r="B123" s="35">
        <v>45924.0</v>
      </c>
      <c r="C123" s="39">
        <v>5.26720269454E11</v>
      </c>
      <c r="D123" s="36" t="s">
        <v>302</v>
      </c>
      <c r="E123" s="40">
        <v>410.79</v>
      </c>
      <c r="F123" s="42"/>
      <c r="G123" s="8" t="s">
        <v>303</v>
      </c>
    </row>
    <row r="124">
      <c r="A124" s="35">
        <v>45926.0</v>
      </c>
      <c r="B124" s="35">
        <v>45926.0</v>
      </c>
      <c r="C124" s="36" t="s">
        <v>304</v>
      </c>
      <c r="D124" s="41" t="s">
        <v>305</v>
      </c>
      <c r="E124" s="42"/>
      <c r="F124" s="38">
        <v>50000.0</v>
      </c>
      <c r="G124" s="8" t="s">
        <v>299</v>
      </c>
    </row>
    <row r="125">
      <c r="A125" s="35">
        <v>45926.0</v>
      </c>
      <c r="B125" s="35">
        <v>45926.0</v>
      </c>
      <c r="C125" s="48">
        <v>9.204905322E10</v>
      </c>
      <c r="D125" s="36" t="s">
        <v>306</v>
      </c>
      <c r="E125" s="42"/>
      <c r="F125" s="40">
        <v>399.0</v>
      </c>
      <c r="G125" s="8" t="s">
        <v>307</v>
      </c>
    </row>
    <row r="126">
      <c r="A126" s="35">
        <v>45927.0</v>
      </c>
      <c r="B126" s="35">
        <v>45927.0</v>
      </c>
      <c r="C126" s="39">
        <v>5.27037599121E11</v>
      </c>
      <c r="D126" s="37" t="s">
        <v>308</v>
      </c>
      <c r="E126" s="38">
        <v>8850.0</v>
      </c>
      <c r="F126" s="37"/>
      <c r="G126" s="8" t="s">
        <v>8</v>
      </c>
    </row>
    <row r="127">
      <c r="A127" s="35">
        <v>45928.0</v>
      </c>
      <c r="B127" s="35">
        <v>45928.0</v>
      </c>
      <c r="C127" s="39">
        <v>5.27137925789E11</v>
      </c>
      <c r="D127" s="37" t="s">
        <v>309</v>
      </c>
      <c r="E127" s="38">
        <v>97940.0</v>
      </c>
      <c r="F127" s="37"/>
      <c r="G127" s="8" t="s">
        <v>299</v>
      </c>
    </row>
    <row r="128">
      <c r="A128" s="35">
        <v>45930.0</v>
      </c>
      <c r="B128" s="35">
        <v>45930.0</v>
      </c>
      <c r="C128" s="39">
        <v>5.27340004392E11</v>
      </c>
      <c r="D128" s="36" t="s">
        <v>310</v>
      </c>
      <c r="E128" s="38">
        <v>25821.0</v>
      </c>
      <c r="F128" s="37"/>
      <c r="G128" s="8" t="s">
        <v>311</v>
      </c>
    </row>
    <row r="129">
      <c r="A129" s="35">
        <v>45932.0</v>
      </c>
      <c r="B129" s="35">
        <v>45932.0</v>
      </c>
      <c r="C129" s="36" t="s">
        <v>312</v>
      </c>
      <c r="D129" s="36" t="s">
        <v>313</v>
      </c>
      <c r="E129" s="42"/>
      <c r="F129" s="38">
        <v>276334.0</v>
      </c>
      <c r="G129" s="8" t="s">
        <v>314</v>
      </c>
    </row>
    <row r="130">
      <c r="A130" s="35">
        <v>45932.0</v>
      </c>
      <c r="B130" s="35">
        <v>45932.0</v>
      </c>
      <c r="C130" s="39">
        <v>5.27541624428E11</v>
      </c>
      <c r="D130" s="37" t="s">
        <v>315</v>
      </c>
      <c r="E130" s="38">
        <v>80000.0</v>
      </c>
      <c r="F130" s="37"/>
      <c r="G130" s="8" t="s">
        <v>316</v>
      </c>
    </row>
    <row r="131">
      <c r="A131" s="35">
        <v>45933.0</v>
      </c>
      <c r="B131" s="35">
        <v>45933.0</v>
      </c>
      <c r="C131" s="39">
        <v>5.276419941E11</v>
      </c>
      <c r="D131" s="37" t="s">
        <v>317</v>
      </c>
      <c r="E131" s="38">
        <v>10000.0</v>
      </c>
      <c r="F131" s="37"/>
      <c r="G131" s="8" t="s">
        <v>318</v>
      </c>
    </row>
    <row r="132">
      <c r="A132" s="35">
        <v>45934.0</v>
      </c>
      <c r="B132" s="35">
        <v>45934.0</v>
      </c>
      <c r="C132" s="36" t="s">
        <v>319</v>
      </c>
      <c r="D132" s="37" t="s">
        <v>320</v>
      </c>
      <c r="E132" s="42"/>
      <c r="F132" s="38">
        <v>34735.0</v>
      </c>
      <c r="G132" s="8" t="s">
        <v>321</v>
      </c>
    </row>
    <row r="133">
      <c r="A133" s="35">
        <v>45936.0</v>
      </c>
      <c r="B133" s="35">
        <v>45936.0</v>
      </c>
      <c r="C133" s="39">
        <v>5.27944468452E11</v>
      </c>
      <c r="D133" s="37" t="s">
        <v>322</v>
      </c>
      <c r="E133" s="38">
        <v>40000.0</v>
      </c>
      <c r="F133" s="37"/>
      <c r="G133" s="8" t="s">
        <v>323</v>
      </c>
    </row>
    <row r="134">
      <c r="A134" s="35">
        <v>45938.0</v>
      </c>
      <c r="B134" s="35">
        <v>45938.0</v>
      </c>
      <c r="C134" s="36" t="s">
        <v>324</v>
      </c>
      <c r="D134" s="49" t="s">
        <v>325</v>
      </c>
      <c r="E134" s="37"/>
      <c r="F134" s="38">
        <v>56050.0</v>
      </c>
      <c r="G134" s="8" t="s">
        <v>326</v>
      </c>
    </row>
    <row r="135">
      <c r="A135" s="35">
        <v>45938.0</v>
      </c>
      <c r="B135" s="35">
        <v>45938.0</v>
      </c>
      <c r="C135" s="36" t="s">
        <v>327</v>
      </c>
      <c r="D135" s="36" t="s">
        <v>328</v>
      </c>
      <c r="E135" s="42"/>
      <c r="F135" s="38">
        <v>60000.0</v>
      </c>
      <c r="G135" s="8" t="s">
        <v>326</v>
      </c>
    </row>
    <row r="136">
      <c r="A136" s="35">
        <v>45938.0</v>
      </c>
      <c r="B136" s="35">
        <v>45938.0</v>
      </c>
      <c r="C136" s="39">
        <v>5.28145860162E11</v>
      </c>
      <c r="D136" s="37" t="s">
        <v>329</v>
      </c>
      <c r="E136" s="38">
        <v>13000.0</v>
      </c>
      <c r="F136" s="37"/>
      <c r="G136" s="8" t="s">
        <v>330</v>
      </c>
    </row>
    <row r="137">
      <c r="A137" s="35">
        <v>45940.0</v>
      </c>
      <c r="B137" s="35">
        <v>45940.0</v>
      </c>
      <c r="C137" s="39">
        <v>5.28347228791E11</v>
      </c>
      <c r="D137" s="37" t="s">
        <v>331</v>
      </c>
      <c r="E137" s="38">
        <v>56050.0</v>
      </c>
      <c r="F137" s="37"/>
      <c r="G137" s="8" t="s">
        <v>332</v>
      </c>
    </row>
    <row r="138">
      <c r="A138" s="35">
        <v>45944.0</v>
      </c>
      <c r="B138" s="35">
        <v>45944.0</v>
      </c>
      <c r="C138" s="39">
        <v>1.01413824245E11</v>
      </c>
      <c r="D138" s="36" t="s">
        <v>333</v>
      </c>
      <c r="E138" s="38">
        <v>1270.55</v>
      </c>
      <c r="F138" s="42"/>
      <c r="G138" s="8" t="s">
        <v>269</v>
      </c>
      <c r="H138" s="20"/>
    </row>
    <row r="139">
      <c r="A139" s="35">
        <v>45946.0</v>
      </c>
      <c r="B139" s="35">
        <v>45946.0</v>
      </c>
      <c r="C139" s="39">
        <v>5.28912025782E11</v>
      </c>
      <c r="D139" s="36" t="s">
        <v>334</v>
      </c>
      <c r="E139" s="38">
        <v>5900.0</v>
      </c>
      <c r="F139" s="42"/>
      <c r="G139" s="8" t="s">
        <v>335</v>
      </c>
      <c r="H139" s="20" t="s">
        <v>336</v>
      </c>
    </row>
    <row r="140">
      <c r="A140" s="35">
        <v>45946.0</v>
      </c>
      <c r="B140" s="35">
        <v>45946.0</v>
      </c>
      <c r="C140" s="39">
        <v>5.2895164464E11</v>
      </c>
      <c r="D140" s="37" t="s">
        <v>337</v>
      </c>
      <c r="E140" s="38">
        <v>25000.0</v>
      </c>
      <c r="F140" s="37"/>
      <c r="G140" s="8" t="s">
        <v>338</v>
      </c>
    </row>
    <row r="141">
      <c r="A141" s="35">
        <v>45947.0</v>
      </c>
      <c r="B141" s="35">
        <v>45947.0</v>
      </c>
      <c r="C141" s="39">
        <v>5.29052137321E11</v>
      </c>
      <c r="D141" s="37" t="s">
        <v>339</v>
      </c>
      <c r="E141" s="38">
        <v>1500.0</v>
      </c>
      <c r="F141" s="37"/>
      <c r="G141" s="8" t="s">
        <v>17</v>
      </c>
    </row>
    <row r="142">
      <c r="A142" s="35">
        <v>45947.0</v>
      </c>
      <c r="B142" s="35">
        <v>45947.0</v>
      </c>
      <c r="C142" s="39">
        <v>5.29052189773E11</v>
      </c>
      <c r="D142" s="37" t="s">
        <v>340</v>
      </c>
      <c r="E142" s="38">
        <v>2000.0</v>
      </c>
      <c r="F142" s="37"/>
      <c r="G142" s="8" t="s">
        <v>17</v>
      </c>
    </row>
    <row r="143">
      <c r="A143" s="35">
        <v>45948.0</v>
      </c>
      <c r="B143" s="35">
        <v>45948.0</v>
      </c>
      <c r="C143" s="39">
        <v>5.29152642488E11</v>
      </c>
      <c r="D143" s="37" t="s">
        <v>341</v>
      </c>
      <c r="E143" s="38">
        <v>2500.0</v>
      </c>
      <c r="F143" s="37"/>
      <c r="G143" s="8" t="s">
        <v>17</v>
      </c>
    </row>
    <row r="144">
      <c r="A144" s="35">
        <v>45948.0</v>
      </c>
      <c r="B144" s="35">
        <v>45948.0</v>
      </c>
      <c r="C144" s="36" t="s">
        <v>342</v>
      </c>
      <c r="D144" s="37" t="s">
        <v>343</v>
      </c>
      <c r="E144" s="42"/>
      <c r="F144" s="38">
        <v>50000.0</v>
      </c>
      <c r="G144" s="8" t="s">
        <v>344</v>
      </c>
    </row>
    <row r="145">
      <c r="A145" s="35">
        <v>45952.0</v>
      </c>
      <c r="B145" s="35">
        <v>45952.0</v>
      </c>
      <c r="C145" s="39">
        <v>5.29554948115E11</v>
      </c>
      <c r="D145" s="37" t="s">
        <v>345</v>
      </c>
      <c r="E145" s="38">
        <v>3370.0</v>
      </c>
      <c r="F145" s="37"/>
      <c r="G145" s="8" t="s">
        <v>346</v>
      </c>
    </row>
    <row r="146">
      <c r="A146" s="50">
        <v>45958.0</v>
      </c>
      <c r="B146" s="50">
        <v>45958.0</v>
      </c>
      <c r="C146" s="51" t="s">
        <v>347</v>
      </c>
      <c r="D146" s="52" t="s">
        <v>348</v>
      </c>
      <c r="E146" s="53">
        <v>2000.0</v>
      </c>
      <c r="F146" s="6"/>
      <c r="G146" s="8" t="s">
        <v>17</v>
      </c>
    </row>
    <row r="147">
      <c r="A147" s="54">
        <v>45959.0</v>
      </c>
      <c r="B147" s="54">
        <v>45959.0</v>
      </c>
      <c r="C147" s="6" t="s">
        <v>349</v>
      </c>
      <c r="D147" s="55" t="s">
        <v>350</v>
      </c>
      <c r="E147" s="56">
        <v>5000.0</v>
      </c>
      <c r="F147" s="6"/>
      <c r="G147" s="8" t="s">
        <v>17</v>
      </c>
    </row>
    <row r="148">
      <c r="A148" s="54">
        <v>45961.0</v>
      </c>
      <c r="B148" s="54">
        <v>45961.0</v>
      </c>
      <c r="C148" s="6" t="s">
        <v>351</v>
      </c>
      <c r="D148" s="6" t="s">
        <v>352</v>
      </c>
      <c r="E148" s="56">
        <v>125248.0</v>
      </c>
      <c r="F148" s="6"/>
      <c r="G148" s="8" t="s">
        <v>353</v>
      </c>
    </row>
    <row r="149">
      <c r="A149" s="54">
        <v>45962.0</v>
      </c>
      <c r="B149" s="54">
        <v>45962.0</v>
      </c>
      <c r="C149" s="55" t="s">
        <v>354</v>
      </c>
      <c r="D149" s="57">
        <v>586059.0</v>
      </c>
      <c r="E149" s="6"/>
      <c r="F149" s="56">
        <v>190000.0</v>
      </c>
      <c r="G149" s="8" t="s">
        <v>355</v>
      </c>
    </row>
    <row r="150">
      <c r="A150" s="54">
        <v>45962.0</v>
      </c>
      <c r="B150" s="54">
        <v>45962.0</v>
      </c>
      <c r="C150" s="6" t="s">
        <v>356</v>
      </c>
      <c r="D150" s="55" t="s">
        <v>357</v>
      </c>
      <c r="E150" s="56">
        <v>25000.0</v>
      </c>
      <c r="F150" s="6"/>
      <c r="G150" s="8" t="s">
        <v>358</v>
      </c>
    </row>
    <row r="151">
      <c r="A151" s="50">
        <v>45962.0</v>
      </c>
      <c r="B151" s="50">
        <v>45962.0</v>
      </c>
      <c r="C151" s="58" t="s">
        <v>359</v>
      </c>
      <c r="D151" s="58" t="s">
        <v>360</v>
      </c>
      <c r="E151" s="53">
        <v>1907.0</v>
      </c>
      <c r="F151" s="59"/>
      <c r="G151" s="8" t="s">
        <v>361</v>
      </c>
    </row>
    <row r="152">
      <c r="A152" s="60"/>
      <c r="B152" s="60"/>
      <c r="C152" s="61">
        <v>3800.0</v>
      </c>
      <c r="D152" s="62" t="s">
        <v>362</v>
      </c>
      <c r="E152" s="60"/>
      <c r="F152" s="63"/>
      <c r="G152" s="13"/>
    </row>
    <row r="153">
      <c r="A153" s="60"/>
      <c r="B153" s="60"/>
      <c r="C153" s="60"/>
      <c r="D153" s="62" t="s">
        <v>363</v>
      </c>
      <c r="E153" s="60"/>
      <c r="F153" s="63"/>
      <c r="G153" s="13"/>
    </row>
    <row r="154">
      <c r="A154" s="60"/>
      <c r="B154" s="60"/>
      <c r="C154" s="60"/>
      <c r="D154" s="62" t="s">
        <v>364</v>
      </c>
      <c r="E154" s="60"/>
      <c r="F154" s="63"/>
      <c r="G154" s="13"/>
    </row>
    <row r="155">
      <c r="A155" s="64"/>
      <c r="B155" s="64"/>
      <c r="C155" s="64"/>
      <c r="D155" s="65" t="s">
        <v>365</v>
      </c>
      <c r="E155" s="64"/>
      <c r="F155" s="66"/>
      <c r="G155" s="13"/>
    </row>
    <row r="156">
      <c r="A156" s="50">
        <v>45963.0</v>
      </c>
      <c r="B156" s="50">
        <v>45963.0</v>
      </c>
      <c r="C156" s="58" t="s">
        <v>366</v>
      </c>
      <c r="D156" s="58" t="s">
        <v>367</v>
      </c>
      <c r="E156" s="53">
        <v>3500.0</v>
      </c>
      <c r="F156" s="59"/>
      <c r="G156" s="8" t="s">
        <v>17</v>
      </c>
    </row>
    <row r="157">
      <c r="A157" s="60"/>
      <c r="B157" s="60"/>
      <c r="C157" s="61">
        <v>8100.0</v>
      </c>
      <c r="D157" s="62" t="s">
        <v>368</v>
      </c>
      <c r="E157" s="60"/>
      <c r="F157" s="63"/>
      <c r="G157" s="13"/>
    </row>
    <row r="158">
      <c r="A158" s="60"/>
      <c r="B158" s="60"/>
      <c r="C158" s="60"/>
      <c r="D158" s="62" t="s">
        <v>369</v>
      </c>
      <c r="E158" s="60"/>
      <c r="F158" s="63"/>
      <c r="G158" s="13"/>
    </row>
    <row r="159">
      <c r="A159" s="60"/>
      <c r="B159" s="60"/>
      <c r="C159" s="60"/>
      <c r="D159" s="62" t="s">
        <v>370</v>
      </c>
      <c r="E159" s="60"/>
      <c r="F159" s="63"/>
      <c r="G159" s="13"/>
    </row>
    <row r="160">
      <c r="A160" s="60"/>
      <c r="B160" s="60"/>
      <c r="C160" s="60"/>
      <c r="D160" s="62" t="s">
        <v>371</v>
      </c>
      <c r="E160" s="60"/>
      <c r="F160" s="63"/>
      <c r="G160" s="13"/>
    </row>
    <row r="161">
      <c r="A161" s="64"/>
      <c r="B161" s="64"/>
      <c r="C161" s="64"/>
      <c r="D161" s="65" t="s">
        <v>372</v>
      </c>
      <c r="E161" s="64"/>
      <c r="F161" s="66"/>
      <c r="G161" s="13"/>
    </row>
    <row r="162">
      <c r="A162" s="50">
        <v>45963.0</v>
      </c>
      <c r="B162" s="50">
        <v>45963.0</v>
      </c>
      <c r="C162" s="67">
        <v>2.02511021734442E14</v>
      </c>
      <c r="D162" s="58" t="s">
        <v>373</v>
      </c>
      <c r="E162" s="53">
        <v>1332.63</v>
      </c>
      <c r="F162" s="59"/>
      <c r="G162" s="8" t="s">
        <v>17</v>
      </c>
    </row>
    <row r="163">
      <c r="A163" s="60"/>
      <c r="B163" s="60"/>
      <c r="C163" s="61">
        <v>60390.0</v>
      </c>
      <c r="D163" s="62" t="s">
        <v>374</v>
      </c>
      <c r="E163" s="60"/>
      <c r="F163" s="63"/>
      <c r="G163" s="13"/>
    </row>
    <row r="164">
      <c r="A164" s="60"/>
      <c r="B164" s="60"/>
      <c r="C164" s="60"/>
      <c r="D164" s="62" t="s">
        <v>375</v>
      </c>
      <c r="E164" s="60"/>
      <c r="F164" s="63"/>
      <c r="G164" s="13"/>
    </row>
    <row r="165">
      <c r="A165" s="64"/>
      <c r="B165" s="64"/>
      <c r="C165" s="64"/>
      <c r="D165" s="65" t="s">
        <v>376</v>
      </c>
      <c r="E165" s="64"/>
      <c r="F165" s="66"/>
      <c r="G165" s="13"/>
    </row>
    <row r="166">
      <c r="A166" s="50">
        <v>45963.0</v>
      </c>
      <c r="B166" s="50">
        <v>45963.0</v>
      </c>
      <c r="C166" s="58" t="s">
        <v>377</v>
      </c>
      <c r="D166" s="58" t="s">
        <v>378</v>
      </c>
      <c r="E166" s="53">
        <v>7500.0</v>
      </c>
      <c r="F166" s="59"/>
      <c r="G166" s="8" t="s">
        <v>318</v>
      </c>
    </row>
    <row r="167">
      <c r="A167" s="60"/>
      <c r="B167" s="60"/>
      <c r="C167" s="61">
        <v>9000.0</v>
      </c>
      <c r="D167" s="62" t="s">
        <v>379</v>
      </c>
      <c r="E167" s="60"/>
      <c r="F167" s="63"/>
      <c r="G167" s="13"/>
    </row>
    <row r="168">
      <c r="A168" s="60"/>
      <c r="B168" s="60"/>
      <c r="C168" s="60"/>
      <c r="D168" s="62" t="s">
        <v>380</v>
      </c>
      <c r="E168" s="60"/>
      <c r="F168" s="63"/>
      <c r="G168" s="13"/>
    </row>
    <row r="169">
      <c r="A169" s="60"/>
      <c r="B169" s="60"/>
      <c r="C169" s="60"/>
      <c r="D169" s="62" t="s">
        <v>381</v>
      </c>
      <c r="E169" s="60"/>
      <c r="F169" s="63"/>
      <c r="G169" s="13"/>
    </row>
    <row r="170">
      <c r="A170" s="64"/>
      <c r="B170" s="64"/>
      <c r="C170" s="64"/>
      <c r="D170" s="65" t="s">
        <v>382</v>
      </c>
      <c r="E170" s="64"/>
      <c r="F170" s="66"/>
      <c r="G170" s="13"/>
    </row>
    <row r="171">
      <c r="A171" s="50">
        <v>45964.0</v>
      </c>
      <c r="B171" s="50">
        <v>45964.0</v>
      </c>
      <c r="C171" s="58" t="s">
        <v>383</v>
      </c>
      <c r="D171" s="58" t="s">
        <v>384</v>
      </c>
      <c r="E171" s="53">
        <v>8500.0</v>
      </c>
      <c r="F171" s="59"/>
      <c r="G171" s="8" t="s">
        <v>385</v>
      </c>
    </row>
    <row r="172">
      <c r="A172" s="60"/>
      <c r="B172" s="60"/>
      <c r="C172" s="61">
        <v>7700.0</v>
      </c>
      <c r="D172" s="62" t="s">
        <v>386</v>
      </c>
      <c r="E172" s="60"/>
      <c r="F172" s="63"/>
      <c r="G172" s="13"/>
    </row>
    <row r="173">
      <c r="A173" s="60"/>
      <c r="B173" s="60"/>
      <c r="C173" s="60"/>
      <c r="D173" s="62" t="s">
        <v>387</v>
      </c>
      <c r="E173" s="60"/>
      <c r="F173" s="63"/>
      <c r="G173" s="13"/>
    </row>
    <row r="174">
      <c r="A174" s="64"/>
      <c r="B174" s="64"/>
      <c r="C174" s="64"/>
      <c r="D174" s="65" t="s">
        <v>388</v>
      </c>
      <c r="E174" s="64"/>
      <c r="F174" s="66"/>
      <c r="G174" s="13"/>
    </row>
    <row r="175">
      <c r="A175" s="50">
        <v>45964.0</v>
      </c>
      <c r="B175" s="50">
        <v>45964.0</v>
      </c>
      <c r="C175" s="58" t="s">
        <v>389</v>
      </c>
      <c r="D175" s="58" t="s">
        <v>390</v>
      </c>
      <c r="E175" s="53">
        <v>100000.0</v>
      </c>
      <c r="F175" s="59"/>
      <c r="G175" s="8" t="s">
        <v>391</v>
      </c>
    </row>
    <row r="176">
      <c r="A176" s="60"/>
      <c r="B176" s="60"/>
      <c r="C176" s="61">
        <v>2400.0</v>
      </c>
      <c r="D176" s="62" t="s">
        <v>392</v>
      </c>
      <c r="E176" s="60"/>
      <c r="F176" s="63"/>
      <c r="G176" s="13"/>
    </row>
    <row r="177">
      <c r="A177" s="60"/>
      <c r="B177" s="60"/>
      <c r="C177" s="60"/>
      <c r="D177" s="62" t="s">
        <v>393</v>
      </c>
      <c r="E177" s="60"/>
      <c r="F177" s="63"/>
      <c r="G177" s="13"/>
    </row>
    <row r="178">
      <c r="A178" s="60"/>
      <c r="B178" s="60"/>
      <c r="C178" s="60"/>
      <c r="D178" s="62" t="s">
        <v>394</v>
      </c>
      <c r="E178" s="60"/>
      <c r="F178" s="63"/>
      <c r="G178" s="13"/>
    </row>
    <row r="179">
      <c r="A179" s="64"/>
      <c r="B179" s="64"/>
      <c r="C179" s="64"/>
      <c r="D179" s="65" t="s">
        <v>395</v>
      </c>
      <c r="E179" s="64"/>
      <c r="F179" s="66"/>
      <c r="G179" s="13"/>
    </row>
    <row r="180">
      <c r="A180" s="50">
        <v>45966.0</v>
      </c>
      <c r="B180" s="50">
        <v>45966.0</v>
      </c>
      <c r="C180" s="67">
        <v>2.02511052259557E14</v>
      </c>
      <c r="D180" s="58" t="s">
        <v>396</v>
      </c>
      <c r="E180" s="68">
        <v>645.0</v>
      </c>
      <c r="F180" s="59"/>
      <c r="G180" s="8" t="s">
        <v>397</v>
      </c>
    </row>
    <row r="181">
      <c r="A181" s="60"/>
      <c r="B181" s="60"/>
      <c r="C181" s="61">
        <v>90276.0</v>
      </c>
      <c r="D181" s="62" t="s">
        <v>398</v>
      </c>
      <c r="E181" s="60"/>
      <c r="F181" s="63"/>
      <c r="G181" s="13"/>
    </row>
    <row r="182">
      <c r="A182" s="64"/>
      <c r="B182" s="64"/>
      <c r="C182" s="64"/>
      <c r="D182" s="65" t="s">
        <v>399</v>
      </c>
      <c r="E182" s="64"/>
      <c r="F182" s="66"/>
      <c r="G182" s="13"/>
    </row>
    <row r="183">
      <c r="A183" s="50">
        <v>45967.0</v>
      </c>
      <c r="B183" s="50">
        <v>45967.0</v>
      </c>
      <c r="C183" s="58" t="s">
        <v>400</v>
      </c>
      <c r="D183" s="58" t="s">
        <v>401</v>
      </c>
      <c r="E183" s="53">
        <v>2000.0</v>
      </c>
      <c r="F183" s="59"/>
      <c r="G183" s="8" t="s">
        <v>17</v>
      </c>
    </row>
    <row r="184">
      <c r="A184" s="60"/>
      <c r="B184" s="60"/>
      <c r="C184" s="61">
        <v>4400.0</v>
      </c>
      <c r="D184" s="62" t="s">
        <v>402</v>
      </c>
      <c r="E184" s="60"/>
      <c r="F184" s="63"/>
      <c r="G184" s="13"/>
    </row>
    <row r="185">
      <c r="A185" s="60"/>
      <c r="B185" s="60"/>
      <c r="C185" s="60"/>
      <c r="D185" s="62" t="s">
        <v>403</v>
      </c>
      <c r="E185" s="60"/>
      <c r="F185" s="63"/>
      <c r="G185" s="13"/>
    </row>
    <row r="186">
      <c r="A186" s="60"/>
      <c r="B186" s="60"/>
      <c r="C186" s="60"/>
      <c r="D186" s="62" t="s">
        <v>404</v>
      </c>
      <c r="E186" s="60"/>
      <c r="F186" s="63"/>
      <c r="G186" s="13"/>
    </row>
    <row r="187">
      <c r="A187" s="60"/>
      <c r="B187" s="60"/>
      <c r="C187" s="60"/>
      <c r="D187" s="62" t="s">
        <v>405</v>
      </c>
      <c r="E187" s="60"/>
      <c r="F187" s="63"/>
      <c r="G187" s="13"/>
    </row>
    <row r="188">
      <c r="A188" s="64"/>
      <c r="B188" s="64"/>
      <c r="C188" s="64"/>
      <c r="D188" s="65" t="s">
        <v>406</v>
      </c>
      <c r="E188" s="64"/>
      <c r="F188" s="66"/>
      <c r="G188" s="13"/>
    </row>
    <row r="189">
      <c r="A189" s="50">
        <v>45968.0</v>
      </c>
      <c r="B189" s="50">
        <v>45968.0</v>
      </c>
      <c r="C189" s="58" t="s">
        <v>407</v>
      </c>
      <c r="D189" s="58" t="s">
        <v>408</v>
      </c>
      <c r="E189" s="53">
        <v>2000.0</v>
      </c>
      <c r="F189" s="59"/>
      <c r="G189" s="8" t="s">
        <v>17</v>
      </c>
    </row>
    <row r="190">
      <c r="A190" s="60"/>
      <c r="B190" s="60"/>
      <c r="C190" s="69">
        <v>900.0</v>
      </c>
      <c r="D190" s="62" t="s">
        <v>409</v>
      </c>
      <c r="E190" s="60"/>
      <c r="F190" s="63"/>
      <c r="G190" s="13"/>
    </row>
    <row r="191">
      <c r="A191" s="60"/>
      <c r="B191" s="60"/>
      <c r="C191" s="60"/>
      <c r="D191" s="62" t="s">
        <v>410</v>
      </c>
      <c r="E191" s="60"/>
      <c r="F191" s="63"/>
      <c r="G191" s="13"/>
    </row>
    <row r="192">
      <c r="A192" s="60"/>
      <c r="B192" s="60"/>
      <c r="C192" s="60"/>
      <c r="D192" s="62" t="s">
        <v>411</v>
      </c>
      <c r="E192" s="60"/>
      <c r="F192" s="63"/>
      <c r="G192" s="13"/>
    </row>
    <row r="193">
      <c r="A193" s="64"/>
      <c r="B193" s="64"/>
      <c r="C193" s="64"/>
      <c r="D193" s="65" t="s">
        <v>412</v>
      </c>
      <c r="E193" s="64"/>
      <c r="F193" s="66"/>
      <c r="G193" s="13"/>
    </row>
    <row r="194">
      <c r="A194" s="50">
        <v>45972.0</v>
      </c>
      <c r="B194" s="50">
        <v>45972.0</v>
      </c>
      <c r="C194" s="58" t="s">
        <v>413</v>
      </c>
      <c r="D194" s="58" t="s">
        <v>414</v>
      </c>
      <c r="E194" s="53">
        <v>50000.0</v>
      </c>
      <c r="F194" s="59"/>
      <c r="G194" s="8" t="s">
        <v>415</v>
      </c>
    </row>
    <row r="195">
      <c r="A195" s="60"/>
      <c r="B195" s="60"/>
      <c r="C195" s="61">
        <v>3500.0</v>
      </c>
      <c r="D195" s="62" t="s">
        <v>416</v>
      </c>
      <c r="E195" s="60"/>
      <c r="F195" s="63"/>
      <c r="G195" s="13"/>
    </row>
    <row r="196">
      <c r="A196" s="60"/>
      <c r="B196" s="60"/>
      <c r="C196" s="60"/>
      <c r="D196" s="62" t="s">
        <v>417</v>
      </c>
      <c r="E196" s="60"/>
      <c r="F196" s="63"/>
      <c r="G196" s="13"/>
    </row>
    <row r="197">
      <c r="A197" s="60"/>
      <c r="B197" s="60"/>
      <c r="C197" s="60"/>
      <c r="D197" s="62" t="s">
        <v>418</v>
      </c>
      <c r="E197" s="60"/>
      <c r="F197" s="63"/>
      <c r="G197" s="13"/>
    </row>
    <row r="198">
      <c r="A198" s="64"/>
      <c r="B198" s="64"/>
      <c r="C198" s="64"/>
      <c r="D198" s="65" t="s">
        <v>419</v>
      </c>
      <c r="E198" s="64"/>
      <c r="F198" s="66"/>
      <c r="G198" s="13"/>
    </row>
    <row r="199">
      <c r="A199" s="50">
        <v>45973.0</v>
      </c>
      <c r="B199" s="50">
        <v>45973.0</v>
      </c>
      <c r="C199" s="58" t="s">
        <v>420</v>
      </c>
      <c r="D199" s="58" t="s">
        <v>421</v>
      </c>
      <c r="E199" s="53">
        <v>76519.0</v>
      </c>
      <c r="F199" s="59"/>
      <c r="G199" s="8" t="s">
        <v>422</v>
      </c>
    </row>
    <row r="200">
      <c r="A200" s="60"/>
      <c r="B200" s="60"/>
      <c r="C200" s="61">
        <v>1600.0</v>
      </c>
      <c r="D200" s="62" t="s">
        <v>423</v>
      </c>
      <c r="E200" s="60"/>
      <c r="F200" s="63"/>
      <c r="G200" s="13"/>
    </row>
    <row r="201">
      <c r="A201" s="60"/>
      <c r="B201" s="60"/>
      <c r="C201" s="70"/>
      <c r="D201" s="71" t="s">
        <v>424</v>
      </c>
      <c r="E201" s="60"/>
      <c r="F201" s="63"/>
      <c r="G201" s="13"/>
    </row>
    <row r="202">
      <c r="A202" s="60"/>
      <c r="B202" s="60"/>
      <c r="C202" s="60"/>
      <c r="D202" s="62" t="s">
        <v>425</v>
      </c>
      <c r="E202" s="60"/>
      <c r="F202" s="63"/>
      <c r="G202" s="13"/>
    </row>
    <row r="203">
      <c r="A203" s="64"/>
      <c r="B203" s="64"/>
      <c r="C203" s="72"/>
      <c r="D203" s="73" t="s">
        <v>426</v>
      </c>
      <c r="E203" s="64"/>
      <c r="F203" s="66"/>
      <c r="G203" s="13"/>
    </row>
    <row r="204">
      <c r="A204" s="50">
        <v>45974.0</v>
      </c>
      <c r="B204" s="50">
        <v>45974.0</v>
      </c>
      <c r="C204" s="67">
        <v>2.02511132121499E14</v>
      </c>
      <c r="D204" s="58" t="s">
        <v>427</v>
      </c>
      <c r="E204" s="68">
        <v>679.45</v>
      </c>
      <c r="F204" s="59"/>
      <c r="G204" s="8" t="s">
        <v>17</v>
      </c>
    </row>
    <row r="205">
      <c r="A205" s="60"/>
      <c r="B205" s="60"/>
      <c r="C205" s="61">
        <v>64748.0</v>
      </c>
      <c r="D205" s="62" t="s">
        <v>428</v>
      </c>
      <c r="E205" s="60"/>
      <c r="F205" s="63"/>
      <c r="G205" s="13"/>
    </row>
    <row r="206">
      <c r="A206" s="60"/>
      <c r="B206" s="60"/>
      <c r="C206" s="60"/>
      <c r="D206" s="62" t="s">
        <v>429</v>
      </c>
      <c r="E206" s="60"/>
      <c r="F206" s="63"/>
      <c r="G206" s="13"/>
    </row>
    <row r="207">
      <c r="A207" s="64"/>
      <c r="B207" s="64"/>
      <c r="C207" s="64"/>
      <c r="D207" s="65" t="s">
        <v>430</v>
      </c>
      <c r="E207" s="64"/>
      <c r="F207" s="66"/>
      <c r="G207" s="13"/>
    </row>
    <row r="208">
      <c r="A208" s="50">
        <v>45975.0</v>
      </c>
      <c r="B208" s="50">
        <v>45975.0</v>
      </c>
      <c r="C208" s="58" t="s">
        <v>431</v>
      </c>
      <c r="D208" s="58" t="s">
        <v>432</v>
      </c>
      <c r="E208" s="53">
        <v>50000.0</v>
      </c>
      <c r="F208" s="59"/>
      <c r="G208" s="8" t="s">
        <v>433</v>
      </c>
    </row>
    <row r="209">
      <c r="A209" s="60"/>
      <c r="B209" s="60"/>
      <c r="C209" s="61">
        <v>3800.0</v>
      </c>
      <c r="D209" s="62" t="s">
        <v>434</v>
      </c>
      <c r="E209" s="60"/>
      <c r="F209" s="63"/>
      <c r="G209" s="13"/>
    </row>
    <row r="210">
      <c r="A210" s="60"/>
      <c r="B210" s="60"/>
      <c r="C210" s="60"/>
      <c r="D210" s="62" t="s">
        <v>435</v>
      </c>
      <c r="E210" s="60"/>
      <c r="F210" s="63"/>
      <c r="G210" s="13"/>
    </row>
    <row r="211">
      <c r="A211" s="60"/>
      <c r="B211" s="60"/>
      <c r="C211" s="60"/>
      <c r="D211" s="62" t="s">
        <v>436</v>
      </c>
      <c r="E211" s="60"/>
      <c r="F211" s="63"/>
      <c r="G211" s="13"/>
    </row>
    <row r="212">
      <c r="A212" s="64"/>
      <c r="B212" s="64"/>
      <c r="C212" s="64"/>
      <c r="D212" s="65" t="s">
        <v>437</v>
      </c>
      <c r="E212" s="64"/>
      <c r="F212" s="66"/>
      <c r="G212" s="13"/>
    </row>
    <row r="213">
      <c r="A213" s="50">
        <v>45975.0</v>
      </c>
      <c r="B213" s="50">
        <v>45975.0</v>
      </c>
      <c r="C213" s="58" t="s">
        <v>438</v>
      </c>
      <c r="D213" s="58" t="s">
        <v>439</v>
      </c>
      <c r="E213" s="59"/>
      <c r="F213" s="53">
        <v>50000.0</v>
      </c>
      <c r="G213" s="8" t="s">
        <v>433</v>
      </c>
    </row>
    <row r="214">
      <c r="A214" s="60"/>
      <c r="B214" s="60"/>
      <c r="C214" s="61">
        <v>82735.0</v>
      </c>
      <c r="D214" s="62" t="s">
        <v>440</v>
      </c>
      <c r="E214" s="63"/>
      <c r="F214" s="60"/>
      <c r="G214" s="13"/>
    </row>
    <row r="215">
      <c r="A215" s="60"/>
      <c r="B215" s="60"/>
      <c r="C215" s="60"/>
      <c r="D215" s="62" t="s">
        <v>441</v>
      </c>
      <c r="E215" s="63"/>
      <c r="F215" s="60"/>
      <c r="G215" s="13"/>
    </row>
    <row r="216">
      <c r="A216" s="60"/>
      <c r="B216" s="60"/>
      <c r="C216" s="60"/>
      <c r="D216" s="62" t="s">
        <v>442</v>
      </c>
      <c r="E216" s="63"/>
      <c r="F216" s="60"/>
      <c r="G216" s="13"/>
    </row>
    <row r="217">
      <c r="A217" s="64"/>
      <c r="B217" s="64"/>
      <c r="C217" s="64"/>
      <c r="D217" s="65" t="s">
        <v>443</v>
      </c>
      <c r="E217" s="66"/>
      <c r="F217" s="64"/>
      <c r="G217" s="13"/>
    </row>
    <row r="218">
      <c r="A218" s="50">
        <v>45975.0</v>
      </c>
      <c r="B218" s="50">
        <v>45975.0</v>
      </c>
      <c r="C218" s="58" t="s">
        <v>444</v>
      </c>
      <c r="D218" s="58" t="s">
        <v>445</v>
      </c>
      <c r="E218" s="59"/>
      <c r="F218" s="53">
        <v>28500.0</v>
      </c>
      <c r="G218" s="8" t="s">
        <v>446</v>
      </c>
    </row>
    <row r="219">
      <c r="A219" s="60"/>
      <c r="B219" s="60"/>
      <c r="C219" s="74">
        <v>19.0</v>
      </c>
      <c r="D219" s="62" t="s">
        <v>447</v>
      </c>
      <c r="E219" s="63"/>
      <c r="F219" s="60"/>
      <c r="G219" s="13"/>
    </row>
    <row r="220">
      <c r="A220" s="60"/>
      <c r="B220" s="60"/>
      <c r="C220" s="60"/>
      <c r="D220" s="62" t="s">
        <v>448</v>
      </c>
      <c r="E220" s="63"/>
      <c r="F220" s="60"/>
      <c r="G220" s="13"/>
    </row>
    <row r="221">
      <c r="A221" s="64"/>
      <c r="B221" s="64"/>
      <c r="C221" s="64"/>
      <c r="D221" s="65" t="s">
        <v>449</v>
      </c>
      <c r="E221" s="66"/>
      <c r="F221" s="64"/>
      <c r="G221" s="13"/>
    </row>
    <row r="222">
      <c r="A222" s="50">
        <v>45975.0</v>
      </c>
      <c r="B222" s="50">
        <v>45975.0</v>
      </c>
      <c r="C222" s="58" t="s">
        <v>450</v>
      </c>
      <c r="D222" s="58" t="s">
        <v>451</v>
      </c>
      <c r="E222" s="53">
        <v>28500.0</v>
      </c>
      <c r="F222" s="59"/>
      <c r="G222" s="8" t="s">
        <v>446</v>
      </c>
    </row>
    <row r="223">
      <c r="A223" s="60"/>
      <c r="B223" s="60"/>
      <c r="C223" s="69">
        <v>400.0</v>
      </c>
      <c r="D223" s="62" t="s">
        <v>452</v>
      </c>
      <c r="E223" s="60"/>
      <c r="F223" s="63"/>
      <c r="G223" s="13"/>
    </row>
    <row r="224">
      <c r="A224" s="60"/>
      <c r="B224" s="60"/>
      <c r="C224" s="60"/>
      <c r="D224" s="62" t="s">
        <v>453</v>
      </c>
      <c r="E224" s="60"/>
      <c r="F224" s="63"/>
      <c r="G224" s="13"/>
    </row>
    <row r="225">
      <c r="A225" s="60"/>
      <c r="B225" s="60"/>
      <c r="C225" s="60"/>
      <c r="D225" s="62" t="s">
        <v>454</v>
      </c>
      <c r="E225" s="60"/>
      <c r="F225" s="63"/>
      <c r="G225" s="13"/>
    </row>
    <row r="226">
      <c r="A226" s="64"/>
      <c r="B226" s="64"/>
      <c r="C226" s="64"/>
      <c r="D226" s="65" t="s">
        <v>455</v>
      </c>
      <c r="E226" s="64"/>
      <c r="F226" s="66"/>
      <c r="G226" s="13"/>
    </row>
    <row r="227">
      <c r="A227" s="50">
        <v>45975.0</v>
      </c>
      <c r="B227" s="50">
        <v>45975.0</v>
      </c>
      <c r="C227" s="58" t="s">
        <v>456</v>
      </c>
      <c r="D227" s="58" t="s">
        <v>457</v>
      </c>
      <c r="E227" s="59"/>
      <c r="F227" s="53">
        <v>50000.0</v>
      </c>
      <c r="G227" s="8" t="s">
        <v>458</v>
      </c>
    </row>
    <row r="228">
      <c r="A228" s="60"/>
      <c r="B228" s="60"/>
      <c r="C228" s="69">
        <v>700.0</v>
      </c>
      <c r="D228" s="62" t="s">
        <v>459</v>
      </c>
      <c r="E228" s="63"/>
      <c r="F228" s="60"/>
      <c r="G228" s="13"/>
    </row>
    <row r="229">
      <c r="A229" s="60"/>
      <c r="B229" s="60"/>
      <c r="C229" s="60"/>
      <c r="D229" s="62" t="s">
        <v>460</v>
      </c>
      <c r="E229" s="63"/>
      <c r="F229" s="60"/>
      <c r="G229" s="13"/>
    </row>
    <row r="230">
      <c r="A230" s="64"/>
      <c r="B230" s="64"/>
      <c r="C230" s="64"/>
      <c r="D230" s="65" t="s">
        <v>461</v>
      </c>
      <c r="E230" s="66"/>
      <c r="F230" s="64"/>
      <c r="G230" s="13"/>
    </row>
    <row r="231">
      <c r="A231" s="50">
        <v>45975.0</v>
      </c>
      <c r="B231" s="50">
        <v>45975.0</v>
      </c>
      <c r="C231" s="58" t="s">
        <v>462</v>
      </c>
      <c r="D231" s="58" t="s">
        <v>463</v>
      </c>
      <c r="E231" s="53">
        <v>12319.0</v>
      </c>
      <c r="F231" s="59"/>
      <c r="G231" s="8" t="s">
        <v>464</v>
      </c>
    </row>
    <row r="232">
      <c r="A232" s="60"/>
      <c r="B232" s="60"/>
      <c r="C232" s="61">
        <v>7000.0</v>
      </c>
      <c r="D232" s="62" t="s">
        <v>465</v>
      </c>
      <c r="E232" s="60"/>
      <c r="F232" s="63"/>
      <c r="G232" s="13"/>
    </row>
    <row r="233">
      <c r="A233" s="60"/>
      <c r="B233" s="60"/>
      <c r="C233" s="60"/>
      <c r="D233" s="62" t="s">
        <v>466</v>
      </c>
      <c r="E233" s="60"/>
      <c r="F233" s="63"/>
      <c r="G233" s="13"/>
    </row>
    <row r="234">
      <c r="A234" s="64"/>
      <c r="B234" s="64"/>
      <c r="C234" s="64"/>
      <c r="D234" s="65" t="s">
        <v>467</v>
      </c>
      <c r="E234" s="64"/>
      <c r="F234" s="66"/>
      <c r="G234" s="13"/>
    </row>
    <row r="235">
      <c r="A235" s="50">
        <v>45975.0</v>
      </c>
      <c r="B235" s="50">
        <v>45975.0</v>
      </c>
      <c r="C235" s="58" t="s">
        <v>468</v>
      </c>
      <c r="D235" s="58" t="s">
        <v>469</v>
      </c>
      <c r="E235" s="53">
        <v>12202.0</v>
      </c>
      <c r="F235" s="59"/>
      <c r="G235" s="8" t="s">
        <v>470</v>
      </c>
    </row>
    <row r="236">
      <c r="A236" s="60"/>
      <c r="B236" s="60"/>
      <c r="C236" s="61">
        <v>1500.0</v>
      </c>
      <c r="D236" s="62" t="s">
        <v>471</v>
      </c>
      <c r="E236" s="60"/>
      <c r="F236" s="63"/>
      <c r="G236" s="13"/>
    </row>
    <row r="237">
      <c r="A237" s="60"/>
      <c r="B237" s="60"/>
      <c r="C237" s="60"/>
      <c r="D237" s="62" t="s">
        <v>472</v>
      </c>
      <c r="E237" s="60"/>
      <c r="F237" s="63"/>
      <c r="G237" s="13"/>
    </row>
    <row r="238">
      <c r="A238" s="60"/>
      <c r="B238" s="60"/>
      <c r="C238" s="60"/>
      <c r="D238" s="62" t="s">
        <v>473</v>
      </c>
      <c r="E238" s="60"/>
      <c r="F238" s="63"/>
      <c r="G238" s="13"/>
    </row>
    <row r="239">
      <c r="A239" s="64"/>
      <c r="B239" s="64"/>
      <c r="C239" s="64"/>
      <c r="D239" s="65" t="s">
        <v>474</v>
      </c>
      <c r="E239" s="64"/>
      <c r="F239" s="66"/>
      <c r="G239" s="13"/>
    </row>
    <row r="240">
      <c r="A240" s="50">
        <v>45975.0</v>
      </c>
      <c r="B240" s="50">
        <v>45975.0</v>
      </c>
      <c r="C240" s="58" t="s">
        <v>475</v>
      </c>
      <c r="D240" s="58" t="s">
        <v>476</v>
      </c>
      <c r="E240" s="53">
        <v>42885.0</v>
      </c>
      <c r="F240" s="59"/>
      <c r="G240" s="8" t="s">
        <v>477</v>
      </c>
    </row>
    <row r="241">
      <c r="A241" s="60"/>
      <c r="B241" s="60"/>
      <c r="C241" s="69">
        <v>700.0</v>
      </c>
      <c r="D241" s="62" t="s">
        <v>478</v>
      </c>
      <c r="E241" s="60"/>
      <c r="F241" s="63"/>
      <c r="G241" s="13"/>
    </row>
    <row r="242">
      <c r="A242" s="60"/>
      <c r="B242" s="60"/>
      <c r="C242" s="60"/>
      <c r="D242" s="62" t="s">
        <v>479</v>
      </c>
      <c r="E242" s="60"/>
      <c r="F242" s="63"/>
      <c r="G242" s="13"/>
    </row>
    <row r="243">
      <c r="A243" s="60"/>
      <c r="B243" s="60"/>
      <c r="C243" s="60"/>
      <c r="D243" s="62" t="s">
        <v>480</v>
      </c>
      <c r="E243" s="60"/>
      <c r="F243" s="63"/>
      <c r="G243" s="13"/>
    </row>
    <row r="244">
      <c r="A244" s="64"/>
      <c r="B244" s="64"/>
      <c r="C244" s="64"/>
      <c r="D244" s="65" t="s">
        <v>481</v>
      </c>
      <c r="E244" s="64"/>
      <c r="F244" s="66"/>
      <c r="G244" s="13"/>
    </row>
    <row r="245">
      <c r="A245" s="50">
        <v>45975.0</v>
      </c>
      <c r="B245" s="50">
        <v>45975.0</v>
      </c>
      <c r="C245" s="67">
        <v>2.0251114185421E14</v>
      </c>
      <c r="D245" s="58" t="s">
        <v>482</v>
      </c>
      <c r="E245" s="53">
        <v>1270.55</v>
      </c>
      <c r="F245" s="59"/>
      <c r="G245" s="8" t="s">
        <v>483</v>
      </c>
    </row>
    <row r="246">
      <c r="A246" s="60"/>
      <c r="B246" s="60"/>
      <c r="C246" s="61">
        <v>22190.0</v>
      </c>
      <c r="D246" s="62" t="s">
        <v>484</v>
      </c>
      <c r="E246" s="60"/>
      <c r="F246" s="63"/>
      <c r="G246" s="13"/>
    </row>
    <row r="247">
      <c r="A247" s="60"/>
      <c r="B247" s="60"/>
      <c r="C247" s="60"/>
      <c r="D247" s="62" t="s">
        <v>485</v>
      </c>
      <c r="E247" s="60"/>
      <c r="F247" s="63"/>
      <c r="G247" s="13"/>
    </row>
    <row r="248">
      <c r="A248" s="64"/>
      <c r="B248" s="64"/>
      <c r="C248" s="64"/>
      <c r="D248" s="65" t="s">
        <v>486</v>
      </c>
      <c r="E248" s="64"/>
      <c r="F248" s="66"/>
      <c r="G248" s="13"/>
    </row>
    <row r="249">
      <c r="A249" s="50">
        <v>45976.0</v>
      </c>
      <c r="B249" s="50">
        <v>45976.0</v>
      </c>
      <c r="C249" s="58" t="s">
        <v>487</v>
      </c>
      <c r="D249" s="58" t="s">
        <v>488</v>
      </c>
      <c r="E249" s="53">
        <v>204488.0</v>
      </c>
      <c r="F249" s="59"/>
      <c r="G249" s="8" t="s">
        <v>433</v>
      </c>
    </row>
    <row r="250">
      <c r="A250" s="60"/>
      <c r="B250" s="60"/>
      <c r="C250" s="61">
        <v>7300.0</v>
      </c>
      <c r="D250" s="62" t="s">
        <v>489</v>
      </c>
      <c r="E250" s="60"/>
      <c r="F250" s="63"/>
      <c r="G250" s="13"/>
    </row>
    <row r="251">
      <c r="A251" s="60"/>
      <c r="B251" s="60"/>
      <c r="C251" s="60"/>
      <c r="D251" s="62" t="s">
        <v>490</v>
      </c>
      <c r="E251" s="60"/>
      <c r="F251" s="63"/>
      <c r="G251" s="13"/>
    </row>
    <row r="252">
      <c r="A252" s="60"/>
      <c r="B252" s="60"/>
      <c r="C252" s="60"/>
      <c r="D252" s="62" t="s">
        <v>491</v>
      </c>
      <c r="E252" s="60"/>
      <c r="F252" s="63"/>
      <c r="G252" s="13"/>
    </row>
    <row r="253">
      <c r="A253" s="64"/>
      <c r="B253" s="64"/>
      <c r="C253" s="64"/>
      <c r="D253" s="65" t="s">
        <v>492</v>
      </c>
      <c r="E253" s="64"/>
      <c r="F253" s="66"/>
      <c r="G253" s="13"/>
    </row>
    <row r="254">
      <c r="A254" s="50">
        <v>45976.0</v>
      </c>
      <c r="B254" s="50">
        <v>45976.0</v>
      </c>
      <c r="C254" s="58" t="s">
        <v>493</v>
      </c>
      <c r="D254" s="58" t="s">
        <v>494</v>
      </c>
      <c r="E254" s="59"/>
      <c r="F254" s="53">
        <v>204488.0</v>
      </c>
      <c r="G254" s="8" t="s">
        <v>433</v>
      </c>
    </row>
    <row r="255">
      <c r="A255" s="60"/>
      <c r="B255" s="60"/>
      <c r="C255" s="61">
        <v>38963.0</v>
      </c>
      <c r="D255" s="62" t="s">
        <v>495</v>
      </c>
      <c r="E255" s="63"/>
      <c r="F255" s="60"/>
      <c r="G255" s="13"/>
    </row>
    <row r="256">
      <c r="A256" s="60"/>
      <c r="B256" s="60"/>
      <c r="C256" s="60"/>
      <c r="D256" s="62" t="s">
        <v>496</v>
      </c>
      <c r="E256" s="63"/>
      <c r="F256" s="60"/>
      <c r="G256" s="13"/>
    </row>
    <row r="257">
      <c r="A257" s="60"/>
      <c r="B257" s="60"/>
      <c r="C257" s="60"/>
      <c r="D257" s="62" t="s">
        <v>497</v>
      </c>
      <c r="E257" s="63"/>
      <c r="F257" s="60"/>
      <c r="G257" s="13"/>
    </row>
    <row r="258">
      <c r="A258" s="64"/>
      <c r="B258" s="64"/>
      <c r="C258" s="64"/>
      <c r="D258" s="65" t="s">
        <v>498</v>
      </c>
      <c r="E258" s="66"/>
      <c r="F258" s="64"/>
      <c r="G258" s="13"/>
    </row>
    <row r="259">
      <c r="A259" s="50">
        <v>45976.0</v>
      </c>
      <c r="B259" s="50">
        <v>45976.0</v>
      </c>
      <c r="C259" s="58" t="s">
        <v>499</v>
      </c>
      <c r="D259" s="58" t="s">
        <v>500</v>
      </c>
      <c r="E259" s="53">
        <v>204488.0</v>
      </c>
      <c r="F259" s="59"/>
      <c r="G259" s="8" t="s">
        <v>433</v>
      </c>
    </row>
    <row r="260">
      <c r="A260" s="60"/>
      <c r="B260" s="60"/>
      <c r="C260" s="61">
        <v>6800.0</v>
      </c>
      <c r="D260" s="62" t="s">
        <v>501</v>
      </c>
      <c r="E260" s="60"/>
      <c r="F260" s="63"/>
      <c r="G260" s="13"/>
    </row>
    <row r="261">
      <c r="A261" s="60"/>
      <c r="B261" s="60"/>
      <c r="C261" s="60"/>
      <c r="D261" s="62" t="s">
        <v>502</v>
      </c>
      <c r="E261" s="60"/>
      <c r="F261" s="63"/>
      <c r="G261" s="13"/>
    </row>
    <row r="262">
      <c r="A262" s="60"/>
      <c r="B262" s="60"/>
      <c r="C262" s="60"/>
      <c r="D262" s="62" t="s">
        <v>503</v>
      </c>
      <c r="E262" s="60"/>
      <c r="F262" s="63"/>
      <c r="G262" s="13"/>
    </row>
    <row r="263">
      <c r="A263" s="64"/>
      <c r="B263" s="64"/>
      <c r="C263" s="64"/>
      <c r="D263" s="65" t="s">
        <v>504</v>
      </c>
      <c r="E263" s="64"/>
      <c r="F263" s="66"/>
      <c r="G263" s="13"/>
    </row>
    <row r="264">
      <c r="A264" s="50">
        <v>45976.0</v>
      </c>
      <c r="B264" s="50">
        <v>45976.0</v>
      </c>
      <c r="C264" s="58" t="s">
        <v>505</v>
      </c>
      <c r="D264" s="58" t="s">
        <v>506</v>
      </c>
      <c r="E264" s="59"/>
      <c r="F264" s="53">
        <v>204488.0</v>
      </c>
      <c r="G264" s="8" t="s">
        <v>433</v>
      </c>
    </row>
    <row r="265">
      <c r="A265" s="60"/>
      <c r="B265" s="60"/>
      <c r="C265" s="61">
        <v>40607.0</v>
      </c>
      <c r="D265" s="62" t="s">
        <v>507</v>
      </c>
      <c r="E265" s="63"/>
      <c r="F265" s="60"/>
      <c r="G265" s="13"/>
    </row>
    <row r="266">
      <c r="A266" s="60"/>
      <c r="B266" s="60"/>
      <c r="C266" s="60"/>
      <c r="D266" s="62" t="s">
        <v>508</v>
      </c>
      <c r="E266" s="63"/>
      <c r="F266" s="60"/>
      <c r="G266" s="13"/>
    </row>
    <row r="267">
      <c r="A267" s="60"/>
      <c r="B267" s="60"/>
      <c r="C267" s="60"/>
      <c r="D267" s="62" t="s">
        <v>509</v>
      </c>
      <c r="E267" s="63"/>
      <c r="F267" s="60"/>
      <c r="G267" s="13"/>
    </row>
    <row r="268">
      <c r="A268" s="64"/>
      <c r="B268" s="64"/>
      <c r="C268" s="64"/>
      <c r="D268" s="65" t="s">
        <v>510</v>
      </c>
      <c r="E268" s="66"/>
      <c r="F268" s="64"/>
      <c r="G268" s="13"/>
    </row>
    <row r="269">
      <c r="A269" s="75">
        <v>45977.0</v>
      </c>
      <c r="B269" s="75">
        <v>45977.0</v>
      </c>
      <c r="C269" s="58" t="s">
        <v>511</v>
      </c>
      <c r="D269" s="58" t="s">
        <v>512</v>
      </c>
      <c r="E269" s="76">
        <v>3000.0</v>
      </c>
      <c r="F269" s="59"/>
      <c r="G269" s="8" t="s">
        <v>17</v>
      </c>
    </row>
    <row r="270">
      <c r="A270" s="60"/>
      <c r="B270" s="60"/>
      <c r="C270" s="77">
        <v>3100.0</v>
      </c>
      <c r="D270" s="62" t="s">
        <v>513</v>
      </c>
      <c r="E270" s="60"/>
      <c r="F270" s="63"/>
      <c r="G270" s="13"/>
    </row>
    <row r="271">
      <c r="A271" s="60"/>
      <c r="B271" s="60"/>
      <c r="C271" s="60"/>
      <c r="D271" s="62" t="s">
        <v>514</v>
      </c>
      <c r="E271" s="60"/>
      <c r="F271" s="63"/>
      <c r="G271" s="13"/>
    </row>
    <row r="272">
      <c r="A272" s="60"/>
      <c r="B272" s="60"/>
      <c r="C272" s="60"/>
      <c r="D272" s="62" t="s">
        <v>515</v>
      </c>
      <c r="E272" s="60"/>
      <c r="F272" s="63"/>
      <c r="G272" s="13"/>
    </row>
    <row r="273">
      <c r="A273" s="60"/>
      <c r="B273" s="60"/>
      <c r="C273" s="60"/>
      <c r="D273" s="62" t="s">
        <v>516</v>
      </c>
      <c r="E273" s="60"/>
      <c r="F273" s="63"/>
      <c r="G273" s="13"/>
    </row>
    <row r="274">
      <c r="A274" s="64"/>
      <c r="B274" s="64"/>
      <c r="C274" s="64"/>
      <c r="D274" s="65" t="s">
        <v>517</v>
      </c>
      <c r="E274" s="64"/>
      <c r="F274" s="66"/>
      <c r="G274" s="13"/>
    </row>
    <row r="275">
      <c r="A275" s="75">
        <v>45977.0</v>
      </c>
      <c r="B275" s="75">
        <v>45977.0</v>
      </c>
      <c r="C275" s="58" t="s">
        <v>518</v>
      </c>
      <c r="D275" s="58" t="s">
        <v>519</v>
      </c>
      <c r="E275" s="76">
        <v>1100.0</v>
      </c>
      <c r="F275" s="59"/>
      <c r="G275" s="8" t="s">
        <v>17</v>
      </c>
    </row>
    <row r="276">
      <c r="A276" s="60"/>
      <c r="B276" s="60"/>
      <c r="C276" s="77">
        <v>5800.0</v>
      </c>
      <c r="D276" s="62" t="s">
        <v>520</v>
      </c>
      <c r="E276" s="60"/>
      <c r="F276" s="63"/>
      <c r="G276" s="13"/>
    </row>
    <row r="277">
      <c r="A277" s="60"/>
      <c r="B277" s="60"/>
      <c r="C277" s="60"/>
      <c r="D277" s="62" t="s">
        <v>521</v>
      </c>
      <c r="E277" s="60"/>
      <c r="F277" s="63"/>
      <c r="G277" s="13"/>
    </row>
    <row r="278">
      <c r="A278" s="60"/>
      <c r="B278" s="60"/>
      <c r="C278" s="60"/>
      <c r="D278" s="62" t="s">
        <v>522</v>
      </c>
      <c r="E278" s="60"/>
      <c r="F278" s="63"/>
      <c r="G278" s="13"/>
    </row>
    <row r="279">
      <c r="A279" s="64"/>
      <c r="B279" s="64"/>
      <c r="C279" s="64"/>
      <c r="D279" s="65" t="s">
        <v>523</v>
      </c>
      <c r="E279" s="64"/>
      <c r="F279" s="66"/>
      <c r="G279" s="13"/>
    </row>
    <row r="280">
      <c r="A280" s="75">
        <v>45977.0</v>
      </c>
      <c r="B280" s="75">
        <v>45977.0</v>
      </c>
      <c r="C280" s="58" t="s">
        <v>524</v>
      </c>
      <c r="D280" s="58" t="s">
        <v>525</v>
      </c>
      <c r="E280" s="76">
        <v>2200.0</v>
      </c>
      <c r="F280" s="59"/>
      <c r="G280" s="8" t="s">
        <v>17</v>
      </c>
    </row>
    <row r="281">
      <c r="A281" s="60"/>
      <c r="B281" s="60"/>
      <c r="C281" s="77">
        <v>2100.0</v>
      </c>
      <c r="D281" s="62" t="s">
        <v>526</v>
      </c>
      <c r="E281" s="60"/>
      <c r="F281" s="63"/>
      <c r="G281" s="13"/>
    </row>
    <row r="282">
      <c r="A282" s="60"/>
      <c r="B282" s="60"/>
      <c r="C282" s="60"/>
      <c r="D282" s="62" t="s">
        <v>527</v>
      </c>
      <c r="E282" s="60"/>
      <c r="F282" s="63"/>
      <c r="G282" s="13"/>
    </row>
    <row r="283">
      <c r="A283" s="60"/>
      <c r="B283" s="60"/>
      <c r="C283" s="60"/>
      <c r="D283" s="62" t="s">
        <v>528</v>
      </c>
      <c r="E283" s="60"/>
      <c r="F283" s="63"/>
      <c r="G283" s="13"/>
    </row>
    <row r="284">
      <c r="A284" s="60"/>
      <c r="B284" s="60"/>
      <c r="C284" s="60"/>
      <c r="D284" s="62" t="s">
        <v>529</v>
      </c>
      <c r="E284" s="60"/>
      <c r="F284" s="63"/>
      <c r="G284" s="13"/>
    </row>
    <row r="285">
      <c r="A285" s="64"/>
      <c r="B285" s="64"/>
      <c r="C285" s="64"/>
      <c r="D285" s="65" t="s">
        <v>530</v>
      </c>
      <c r="E285" s="64"/>
      <c r="F285" s="66"/>
      <c r="G285" s="13"/>
    </row>
    <row r="286">
      <c r="A286" s="50">
        <v>45978.0</v>
      </c>
      <c r="B286" s="50">
        <v>45978.0</v>
      </c>
      <c r="C286" s="58" t="s">
        <v>531</v>
      </c>
      <c r="D286" s="58" t="s">
        <v>532</v>
      </c>
      <c r="E286" s="53">
        <v>5000.0</v>
      </c>
      <c r="F286" s="59"/>
      <c r="G286" s="8" t="s">
        <v>533</v>
      </c>
    </row>
    <row r="287">
      <c r="A287" s="60"/>
      <c r="B287" s="60"/>
      <c r="C287" s="61">
        <v>2100.0</v>
      </c>
      <c r="D287" s="62" t="s">
        <v>534</v>
      </c>
      <c r="E287" s="60"/>
      <c r="F287" s="63"/>
      <c r="G287" s="13"/>
    </row>
    <row r="288">
      <c r="A288" s="60"/>
      <c r="B288" s="60"/>
      <c r="C288" s="60"/>
      <c r="D288" s="62" t="s">
        <v>535</v>
      </c>
      <c r="E288" s="60"/>
      <c r="F288" s="63"/>
      <c r="G288" s="13"/>
    </row>
    <row r="289">
      <c r="A289" s="64"/>
      <c r="B289" s="64"/>
      <c r="C289" s="64"/>
      <c r="D289" s="65" t="s">
        <v>536</v>
      </c>
      <c r="E289" s="64"/>
      <c r="F289" s="66"/>
      <c r="G289" s="13"/>
    </row>
    <row r="290">
      <c r="A290" s="50">
        <v>45978.0</v>
      </c>
      <c r="B290" s="50">
        <v>45978.0</v>
      </c>
      <c r="C290" s="58" t="s">
        <v>537</v>
      </c>
      <c r="D290" s="58" t="s">
        <v>538</v>
      </c>
      <c r="E290" s="53">
        <v>204488.0</v>
      </c>
      <c r="F290" s="59"/>
      <c r="G290" s="8" t="s">
        <v>433</v>
      </c>
    </row>
    <row r="291">
      <c r="A291" s="60"/>
      <c r="B291" s="60"/>
      <c r="C291" s="61">
        <v>1500.0</v>
      </c>
      <c r="D291" s="62" t="s">
        <v>539</v>
      </c>
      <c r="E291" s="60"/>
      <c r="F291" s="63"/>
      <c r="G291" s="13"/>
    </row>
    <row r="292">
      <c r="A292" s="60"/>
      <c r="B292" s="60"/>
      <c r="C292" s="60"/>
      <c r="D292" s="62" t="s">
        <v>540</v>
      </c>
      <c r="E292" s="60"/>
      <c r="F292" s="63"/>
      <c r="G292" s="13"/>
    </row>
    <row r="293">
      <c r="A293" s="60"/>
      <c r="B293" s="60"/>
      <c r="C293" s="60"/>
      <c r="D293" s="62" t="s">
        <v>541</v>
      </c>
      <c r="E293" s="60"/>
      <c r="F293" s="63"/>
      <c r="G293" s="13"/>
    </row>
    <row r="294">
      <c r="A294" s="64"/>
      <c r="B294" s="64"/>
      <c r="C294" s="64"/>
      <c r="D294" s="65" t="s">
        <v>542</v>
      </c>
      <c r="E294" s="64"/>
      <c r="F294" s="66"/>
      <c r="G294" s="13"/>
    </row>
    <row r="295">
      <c r="A295" s="50">
        <v>45978.0</v>
      </c>
      <c r="B295" s="50">
        <v>45978.0</v>
      </c>
      <c r="C295" s="58" t="s">
        <v>543</v>
      </c>
      <c r="D295" s="58" t="s">
        <v>544</v>
      </c>
      <c r="E295" s="59"/>
      <c r="F295" s="53">
        <v>204488.0</v>
      </c>
      <c r="G295" s="8" t="s">
        <v>433</v>
      </c>
    </row>
    <row r="296">
      <c r="A296" s="60"/>
      <c r="B296" s="60"/>
      <c r="C296" s="78">
        <v>4986.0</v>
      </c>
      <c r="D296" s="62" t="s">
        <v>545</v>
      </c>
      <c r="E296" s="63"/>
      <c r="F296" s="60"/>
      <c r="G296" s="13"/>
    </row>
    <row r="297">
      <c r="A297" s="60"/>
      <c r="B297" s="60"/>
      <c r="C297" s="60"/>
      <c r="D297" s="62" t="s">
        <v>546</v>
      </c>
      <c r="E297" s="63"/>
      <c r="F297" s="60"/>
      <c r="G297" s="13"/>
    </row>
    <row r="298">
      <c r="A298" s="60"/>
      <c r="B298" s="60"/>
      <c r="C298" s="60"/>
      <c r="D298" s="62" t="s">
        <v>547</v>
      </c>
      <c r="E298" s="63"/>
      <c r="F298" s="60"/>
      <c r="G298" s="13"/>
    </row>
    <row r="299">
      <c r="A299" s="64"/>
      <c r="B299" s="64"/>
      <c r="C299" s="64"/>
      <c r="D299" s="65" t="s">
        <v>548</v>
      </c>
      <c r="E299" s="66"/>
      <c r="F299" s="64"/>
      <c r="G299" s="13"/>
    </row>
    <row r="300">
      <c r="A300" s="50">
        <v>45978.0</v>
      </c>
      <c r="B300" s="50">
        <v>45978.0</v>
      </c>
      <c r="C300" s="58" t="s">
        <v>549</v>
      </c>
      <c r="D300" s="58" t="s">
        <v>550</v>
      </c>
      <c r="E300" s="53">
        <v>104488.0</v>
      </c>
      <c r="F300" s="59"/>
      <c r="G300" s="8" t="s">
        <v>433</v>
      </c>
    </row>
    <row r="301">
      <c r="A301" s="60"/>
      <c r="B301" s="60"/>
      <c r="C301" s="61">
        <v>8900.0</v>
      </c>
      <c r="D301" s="62" t="s">
        <v>551</v>
      </c>
      <c r="E301" s="60"/>
      <c r="F301" s="63"/>
      <c r="G301" s="13"/>
    </row>
    <row r="302">
      <c r="A302" s="60"/>
      <c r="B302" s="60"/>
      <c r="C302" s="60"/>
      <c r="D302" s="62" t="s">
        <v>552</v>
      </c>
      <c r="E302" s="60"/>
      <c r="F302" s="63"/>
      <c r="G302" s="13"/>
    </row>
    <row r="303">
      <c r="A303" s="60"/>
      <c r="B303" s="60"/>
      <c r="C303" s="60"/>
      <c r="D303" s="62" t="s">
        <v>553</v>
      </c>
      <c r="E303" s="60"/>
      <c r="F303" s="63"/>
      <c r="G303" s="13"/>
    </row>
    <row r="304">
      <c r="A304" s="64"/>
      <c r="B304" s="64"/>
      <c r="C304" s="64"/>
      <c r="D304" s="65" t="s">
        <v>554</v>
      </c>
      <c r="E304" s="64"/>
      <c r="F304" s="66"/>
      <c r="G304" s="13"/>
    </row>
    <row r="305">
      <c r="A305" s="50">
        <v>45978.0</v>
      </c>
      <c r="B305" s="50">
        <v>45978.0</v>
      </c>
      <c r="C305" s="58" t="s">
        <v>555</v>
      </c>
      <c r="D305" s="58" t="s">
        <v>556</v>
      </c>
      <c r="E305" s="59"/>
      <c r="F305" s="53">
        <v>104488.0</v>
      </c>
      <c r="G305" s="8" t="s">
        <v>433</v>
      </c>
    </row>
    <row r="306">
      <c r="A306" s="60"/>
      <c r="B306" s="60"/>
      <c r="C306" s="78">
        <v>7214.0</v>
      </c>
      <c r="D306" s="62" t="s">
        <v>557</v>
      </c>
      <c r="E306" s="63"/>
      <c r="F306" s="60"/>
      <c r="G306" s="13"/>
    </row>
    <row r="307">
      <c r="A307" s="60"/>
      <c r="B307" s="60"/>
      <c r="C307" s="60"/>
      <c r="D307" s="62" t="s">
        <v>558</v>
      </c>
      <c r="E307" s="63"/>
      <c r="F307" s="60"/>
      <c r="G307" s="13"/>
    </row>
    <row r="308">
      <c r="A308" s="60"/>
      <c r="B308" s="60"/>
      <c r="C308" s="60"/>
      <c r="D308" s="62" t="s">
        <v>559</v>
      </c>
      <c r="E308" s="63"/>
      <c r="F308" s="60"/>
      <c r="G308" s="13"/>
    </row>
    <row r="309">
      <c r="A309" s="64"/>
      <c r="B309" s="64"/>
      <c r="C309" s="64"/>
      <c r="D309" s="65" t="s">
        <v>560</v>
      </c>
      <c r="E309" s="66"/>
      <c r="F309" s="64"/>
      <c r="G309" s="13"/>
    </row>
    <row r="310">
      <c r="A310" s="50">
        <v>45978.0</v>
      </c>
      <c r="B310" s="50">
        <v>45978.0</v>
      </c>
      <c r="C310" s="67">
        <v>2.02511172307412E14</v>
      </c>
      <c r="D310" s="58" t="s">
        <v>561</v>
      </c>
      <c r="E310" s="68">
        <v>2.0</v>
      </c>
      <c r="F310" s="59"/>
      <c r="G310" s="8" t="s">
        <v>269</v>
      </c>
    </row>
    <row r="311">
      <c r="A311" s="60"/>
      <c r="B311" s="60"/>
      <c r="C311" s="61">
        <v>53561.0</v>
      </c>
      <c r="D311" s="62" t="s">
        <v>562</v>
      </c>
      <c r="E311" s="60"/>
      <c r="F311" s="63"/>
      <c r="G311" s="13"/>
    </row>
    <row r="312">
      <c r="A312" s="64"/>
      <c r="B312" s="64"/>
      <c r="C312" s="64"/>
      <c r="D312" s="65" t="s">
        <v>563</v>
      </c>
      <c r="E312" s="64"/>
      <c r="F312" s="66"/>
      <c r="G312" s="13"/>
    </row>
    <row r="313">
      <c r="A313" s="50">
        <v>45978.0</v>
      </c>
      <c r="B313" s="50">
        <v>45978.0</v>
      </c>
      <c r="C313" s="67">
        <v>2.02511172331432E14</v>
      </c>
      <c r="D313" s="58" t="s">
        <v>564</v>
      </c>
      <c r="E313" s="68">
        <v>2.0</v>
      </c>
      <c r="F313" s="59"/>
      <c r="G313" s="8" t="s">
        <v>269</v>
      </c>
    </row>
    <row r="314">
      <c r="A314" s="60"/>
      <c r="B314" s="60"/>
      <c r="C314" s="61">
        <v>54353.0</v>
      </c>
      <c r="D314" s="62" t="s">
        <v>565</v>
      </c>
      <c r="E314" s="60"/>
      <c r="F314" s="63"/>
      <c r="G314" s="13"/>
    </row>
    <row r="315">
      <c r="A315" s="64"/>
      <c r="B315" s="64"/>
      <c r="C315" s="64"/>
      <c r="D315" s="65" t="s">
        <v>566</v>
      </c>
      <c r="E315" s="64"/>
      <c r="F315" s="66"/>
      <c r="G315" s="13"/>
    </row>
    <row r="316">
      <c r="A316" s="50">
        <v>45978.0</v>
      </c>
      <c r="B316" s="50">
        <v>45978.0</v>
      </c>
      <c r="C316" s="58" t="s">
        <v>567</v>
      </c>
      <c r="D316" s="58" t="s">
        <v>568</v>
      </c>
      <c r="E316" s="53">
        <v>3510.0</v>
      </c>
      <c r="F316" s="59"/>
      <c r="G316" s="8" t="s">
        <v>569</v>
      </c>
    </row>
    <row r="317">
      <c r="A317" s="60"/>
      <c r="B317" s="60"/>
      <c r="C317" s="61">
        <v>2400.0</v>
      </c>
      <c r="D317" s="62" t="s">
        <v>570</v>
      </c>
      <c r="E317" s="60"/>
      <c r="F317" s="63"/>
      <c r="G317" s="13"/>
    </row>
    <row r="318">
      <c r="A318" s="60"/>
      <c r="B318" s="60"/>
      <c r="C318" s="60"/>
      <c r="D318" s="62" t="s">
        <v>571</v>
      </c>
      <c r="E318" s="60"/>
      <c r="F318" s="63"/>
      <c r="G318" s="13"/>
    </row>
    <row r="319">
      <c r="A319" s="60"/>
      <c r="B319" s="60"/>
      <c r="C319" s="60"/>
      <c r="D319" s="62" t="s">
        <v>572</v>
      </c>
      <c r="E319" s="60"/>
      <c r="F319" s="63"/>
      <c r="G319" s="13"/>
    </row>
    <row r="320">
      <c r="A320" s="64"/>
      <c r="B320" s="64"/>
      <c r="C320" s="64"/>
      <c r="D320" s="65" t="s">
        <v>573</v>
      </c>
      <c r="E320" s="64"/>
      <c r="F320" s="66"/>
      <c r="G320" s="13"/>
    </row>
    <row r="321">
      <c r="A321" s="50">
        <v>45979.0</v>
      </c>
      <c r="B321" s="50">
        <v>45979.0</v>
      </c>
      <c r="C321" s="58" t="s">
        <v>574</v>
      </c>
      <c r="D321" s="58" t="s">
        <v>575</v>
      </c>
      <c r="E321" s="53">
        <v>204488.0</v>
      </c>
      <c r="F321" s="59"/>
      <c r="G321" s="8" t="s">
        <v>576</v>
      </c>
    </row>
    <row r="322">
      <c r="A322" s="60"/>
      <c r="B322" s="60"/>
      <c r="C322" s="61">
        <v>3500.0</v>
      </c>
      <c r="D322" s="62" t="s">
        <v>577</v>
      </c>
      <c r="E322" s="60"/>
      <c r="F322" s="63"/>
      <c r="G322" s="13"/>
    </row>
    <row r="323">
      <c r="A323" s="60"/>
      <c r="B323" s="60"/>
      <c r="C323" s="60"/>
      <c r="D323" s="62" t="s">
        <v>578</v>
      </c>
      <c r="E323" s="60"/>
      <c r="F323" s="63"/>
      <c r="G323" s="13"/>
    </row>
    <row r="324">
      <c r="A324" s="60"/>
      <c r="B324" s="60"/>
      <c r="C324" s="60"/>
      <c r="D324" s="62" t="s">
        <v>579</v>
      </c>
      <c r="E324" s="60"/>
      <c r="F324" s="63"/>
      <c r="G324" s="13"/>
    </row>
    <row r="325">
      <c r="A325" s="60"/>
      <c r="B325" s="60"/>
      <c r="C325" s="60"/>
      <c r="D325" s="62" t="s">
        <v>580</v>
      </c>
      <c r="E325" s="60"/>
      <c r="F325" s="63"/>
      <c r="G325" s="13"/>
    </row>
    <row r="326">
      <c r="A326" s="64"/>
      <c r="B326" s="64"/>
      <c r="C326" s="64"/>
      <c r="D326" s="65" t="s">
        <v>581</v>
      </c>
      <c r="E326" s="64"/>
      <c r="F326" s="66"/>
      <c r="G326" s="13"/>
    </row>
    <row r="327">
      <c r="A327" s="50">
        <v>45980.0</v>
      </c>
      <c r="B327" s="50">
        <v>45980.0</v>
      </c>
      <c r="C327" s="58" t="s">
        <v>582</v>
      </c>
      <c r="D327" s="58" t="s">
        <v>583</v>
      </c>
      <c r="E327" s="53">
        <v>1780.0</v>
      </c>
      <c r="F327" s="59"/>
      <c r="G327" s="8" t="s">
        <v>584</v>
      </c>
    </row>
    <row r="328">
      <c r="A328" s="60"/>
      <c r="B328" s="60"/>
      <c r="C328" s="61">
        <v>6000.0</v>
      </c>
      <c r="D328" s="62" t="s">
        <v>585</v>
      </c>
      <c r="E328" s="60"/>
      <c r="F328" s="63"/>
      <c r="G328" s="13"/>
    </row>
    <row r="329">
      <c r="A329" s="60"/>
      <c r="B329" s="60"/>
      <c r="C329" s="60"/>
      <c r="D329" s="62" t="s">
        <v>586</v>
      </c>
      <c r="E329" s="60"/>
      <c r="F329" s="63"/>
      <c r="G329" s="13"/>
    </row>
    <row r="330">
      <c r="A330" s="60"/>
      <c r="B330" s="60"/>
      <c r="C330" s="60"/>
      <c r="D330" s="62" t="s">
        <v>587</v>
      </c>
      <c r="E330" s="60"/>
      <c r="F330" s="63"/>
      <c r="G330" s="13"/>
    </row>
    <row r="331">
      <c r="A331" s="64"/>
      <c r="B331" s="64"/>
      <c r="C331" s="64"/>
      <c r="D331" s="65" t="s">
        <v>588</v>
      </c>
      <c r="E331" s="64"/>
      <c r="F331" s="66"/>
      <c r="G331" s="13"/>
    </row>
    <row r="332">
      <c r="A332" s="54">
        <v>45980.0</v>
      </c>
      <c r="B332" s="54">
        <v>45980.0</v>
      </c>
      <c r="C332" s="6" t="s">
        <v>589</v>
      </c>
      <c r="D332" s="6" t="s">
        <v>590</v>
      </c>
      <c r="E332" s="79">
        <v>2.0</v>
      </c>
      <c r="F332" s="6"/>
      <c r="G332" s="8" t="s">
        <v>269</v>
      </c>
    </row>
    <row r="333">
      <c r="A333" s="54">
        <v>45981.0</v>
      </c>
      <c r="B333" s="54">
        <v>45981.0</v>
      </c>
      <c r="C333" s="6" t="s">
        <v>591</v>
      </c>
      <c r="D333" s="6" t="s">
        <v>592</v>
      </c>
      <c r="E333" s="56">
        <v>3400.0</v>
      </c>
      <c r="F333" s="6"/>
      <c r="G333" s="8" t="s">
        <v>593</v>
      </c>
    </row>
    <row r="334">
      <c r="A334" s="54">
        <v>45981.0</v>
      </c>
      <c r="B334" s="54">
        <v>45981.0</v>
      </c>
      <c r="C334" s="80">
        <v>1.11718252613E11</v>
      </c>
      <c r="D334" s="55" t="s">
        <v>594</v>
      </c>
      <c r="E334" s="6"/>
      <c r="F334" s="79">
        <v>2.0</v>
      </c>
      <c r="G334" s="8" t="s">
        <v>269</v>
      </c>
    </row>
    <row r="335">
      <c r="A335" s="54">
        <v>45981.0</v>
      </c>
      <c r="B335" s="54">
        <v>45981.0</v>
      </c>
      <c r="C335" s="80">
        <v>1.11717236089E11</v>
      </c>
      <c r="D335" s="55" t="s">
        <v>595</v>
      </c>
      <c r="E335" s="6"/>
      <c r="F335" s="79">
        <v>2.0</v>
      </c>
      <c r="G335" s="8" t="s">
        <v>269</v>
      </c>
    </row>
    <row r="336">
      <c r="A336" s="54">
        <v>45982.0</v>
      </c>
      <c r="B336" s="54">
        <v>45982.0</v>
      </c>
      <c r="C336" s="55" t="s">
        <v>596</v>
      </c>
      <c r="D336" s="6" t="s">
        <v>597</v>
      </c>
      <c r="E336" s="56">
        <v>134400.0</v>
      </c>
      <c r="F336" s="6"/>
      <c r="G336" s="8" t="s">
        <v>433</v>
      </c>
    </row>
    <row r="337">
      <c r="A337" s="50">
        <v>45982.0</v>
      </c>
      <c r="B337" s="50">
        <v>45982.0</v>
      </c>
      <c r="C337" s="58" t="s">
        <v>598</v>
      </c>
      <c r="D337" s="58" t="s">
        <v>599</v>
      </c>
      <c r="E337" s="59"/>
      <c r="F337" s="53">
        <v>134400.0</v>
      </c>
      <c r="G337" s="8" t="s">
        <v>433</v>
      </c>
    </row>
    <row r="338">
      <c r="A338" s="60"/>
      <c r="B338" s="60"/>
      <c r="C338" s="61">
        <v>91110.0</v>
      </c>
      <c r="D338" s="62" t="s">
        <v>600</v>
      </c>
      <c r="E338" s="63"/>
      <c r="F338" s="60"/>
      <c r="G338" s="13"/>
    </row>
    <row r="339">
      <c r="A339" s="60"/>
      <c r="B339" s="60"/>
      <c r="C339" s="60"/>
      <c r="D339" s="62" t="s">
        <v>601</v>
      </c>
      <c r="E339" s="63"/>
      <c r="F339" s="60"/>
      <c r="G339" s="13"/>
    </row>
    <row r="340">
      <c r="A340" s="60"/>
      <c r="B340" s="60"/>
      <c r="C340" s="60"/>
      <c r="D340" s="62" t="s">
        <v>602</v>
      </c>
      <c r="E340" s="63"/>
      <c r="F340" s="60"/>
      <c r="G340" s="13"/>
    </row>
    <row r="341">
      <c r="A341" s="64"/>
      <c r="B341" s="64"/>
      <c r="C341" s="64"/>
      <c r="D341" s="65" t="s">
        <v>603</v>
      </c>
      <c r="E341" s="66"/>
      <c r="F341" s="64"/>
      <c r="G341" s="13"/>
    </row>
    <row r="342">
      <c r="A342" s="50">
        <v>45982.0</v>
      </c>
      <c r="B342" s="50">
        <v>45982.0</v>
      </c>
      <c r="C342" s="58" t="s">
        <v>604</v>
      </c>
      <c r="D342" s="58" t="s">
        <v>605</v>
      </c>
      <c r="E342" s="53">
        <v>134400.0</v>
      </c>
      <c r="F342" s="59"/>
      <c r="G342" s="8" t="s">
        <v>433</v>
      </c>
    </row>
    <row r="343">
      <c r="A343" s="60"/>
      <c r="B343" s="60"/>
      <c r="C343" s="61">
        <v>5800.0</v>
      </c>
      <c r="D343" s="62" t="s">
        <v>606</v>
      </c>
      <c r="E343" s="60"/>
      <c r="F343" s="63"/>
      <c r="G343" s="13"/>
    </row>
    <row r="344">
      <c r="A344" s="60"/>
      <c r="B344" s="60"/>
      <c r="C344" s="60"/>
      <c r="D344" s="62" t="s">
        <v>607</v>
      </c>
      <c r="E344" s="60"/>
      <c r="F344" s="63"/>
      <c r="G344" s="13"/>
    </row>
    <row r="345">
      <c r="A345" s="60"/>
      <c r="B345" s="60"/>
      <c r="C345" s="60"/>
      <c r="D345" s="62" t="s">
        <v>608</v>
      </c>
      <c r="E345" s="60"/>
      <c r="F345" s="63"/>
      <c r="G345" s="13"/>
    </row>
    <row r="346">
      <c r="A346" s="64"/>
      <c r="B346" s="64"/>
      <c r="C346" s="64"/>
      <c r="D346" s="65" t="s">
        <v>609</v>
      </c>
      <c r="E346" s="64"/>
      <c r="F346" s="66"/>
      <c r="G346" s="13"/>
    </row>
    <row r="347">
      <c r="A347" s="50">
        <v>45982.0</v>
      </c>
      <c r="B347" s="50">
        <v>45982.0</v>
      </c>
      <c r="C347" s="58" t="s">
        <v>610</v>
      </c>
      <c r="D347" s="58" t="s">
        <v>611</v>
      </c>
      <c r="E347" s="59"/>
      <c r="F347" s="53">
        <v>134400.0</v>
      </c>
      <c r="G347" s="8" t="s">
        <v>433</v>
      </c>
    </row>
    <row r="348">
      <c r="A348" s="60"/>
      <c r="B348" s="60"/>
      <c r="C348" s="61">
        <v>97115.0</v>
      </c>
      <c r="D348" s="62" t="s">
        <v>612</v>
      </c>
      <c r="E348" s="63"/>
      <c r="F348" s="60"/>
      <c r="G348" s="13"/>
    </row>
    <row r="349">
      <c r="A349" s="60"/>
      <c r="B349" s="60"/>
      <c r="C349" s="60"/>
      <c r="D349" s="62" t="s">
        <v>613</v>
      </c>
      <c r="E349" s="63"/>
      <c r="F349" s="60"/>
      <c r="G349" s="13"/>
    </row>
    <row r="350">
      <c r="A350" s="60"/>
      <c r="B350" s="60"/>
      <c r="C350" s="60"/>
      <c r="D350" s="62" t="s">
        <v>614</v>
      </c>
      <c r="E350" s="63"/>
      <c r="F350" s="60"/>
      <c r="G350" s="13"/>
    </row>
    <row r="351">
      <c r="A351" s="64"/>
      <c r="B351" s="64"/>
      <c r="C351" s="64"/>
      <c r="D351" s="65" t="s">
        <v>615</v>
      </c>
      <c r="E351" s="66"/>
      <c r="F351" s="64"/>
      <c r="G351" s="13"/>
    </row>
    <row r="352">
      <c r="A352" s="50">
        <v>45982.0</v>
      </c>
      <c r="B352" s="50">
        <v>45982.0</v>
      </c>
      <c r="C352" s="58" t="s">
        <v>616</v>
      </c>
      <c r="D352" s="58" t="s">
        <v>617</v>
      </c>
      <c r="E352" s="53">
        <v>50000.0</v>
      </c>
      <c r="F352" s="59"/>
      <c r="G352" s="8" t="s">
        <v>433</v>
      </c>
    </row>
    <row r="353">
      <c r="A353" s="60"/>
      <c r="B353" s="60"/>
      <c r="C353" s="61">
        <v>1400.0</v>
      </c>
      <c r="D353" s="62" t="s">
        <v>618</v>
      </c>
      <c r="E353" s="60"/>
      <c r="F353" s="63"/>
      <c r="G353" s="13"/>
    </row>
    <row r="354">
      <c r="A354" s="60"/>
      <c r="B354" s="60"/>
      <c r="C354" s="60"/>
      <c r="D354" s="62" t="s">
        <v>619</v>
      </c>
      <c r="E354" s="60"/>
      <c r="F354" s="63"/>
      <c r="G354" s="13"/>
    </row>
    <row r="355">
      <c r="A355" s="60"/>
      <c r="B355" s="60"/>
      <c r="C355" s="60"/>
      <c r="D355" s="62" t="s">
        <v>620</v>
      </c>
      <c r="E355" s="60"/>
      <c r="F355" s="63"/>
      <c r="G355" s="13"/>
    </row>
    <row r="356">
      <c r="A356" s="64"/>
      <c r="B356" s="64"/>
      <c r="C356" s="64"/>
      <c r="D356" s="65" t="s">
        <v>621</v>
      </c>
      <c r="E356" s="64"/>
      <c r="F356" s="66"/>
      <c r="G356" s="13"/>
    </row>
    <row r="357">
      <c r="A357" s="50">
        <v>45982.0</v>
      </c>
      <c r="B357" s="50">
        <v>45982.0</v>
      </c>
      <c r="C357" s="58" t="s">
        <v>622</v>
      </c>
      <c r="D357" s="58" t="s">
        <v>623</v>
      </c>
      <c r="E357" s="59"/>
      <c r="F357" s="53">
        <v>50000.0</v>
      </c>
      <c r="G357" s="8" t="s">
        <v>433</v>
      </c>
    </row>
    <row r="358">
      <c r="A358" s="60"/>
      <c r="B358" s="60"/>
      <c r="C358" s="61">
        <v>59321.0</v>
      </c>
      <c r="D358" s="62" t="s">
        <v>624</v>
      </c>
      <c r="E358" s="63"/>
      <c r="F358" s="60"/>
      <c r="G358" s="13"/>
    </row>
    <row r="359">
      <c r="A359" s="60"/>
      <c r="B359" s="60"/>
      <c r="C359" s="60"/>
      <c r="D359" s="62" t="s">
        <v>625</v>
      </c>
      <c r="E359" s="63"/>
      <c r="F359" s="60"/>
      <c r="G359" s="13"/>
    </row>
    <row r="360">
      <c r="A360" s="60"/>
      <c r="B360" s="60"/>
      <c r="C360" s="60"/>
      <c r="D360" s="62" t="s">
        <v>626</v>
      </c>
      <c r="E360" s="63"/>
      <c r="F360" s="60"/>
      <c r="G360" s="13"/>
    </row>
    <row r="361">
      <c r="A361" s="64"/>
      <c r="B361" s="64"/>
      <c r="C361" s="64"/>
      <c r="D361" s="65" t="s">
        <v>627</v>
      </c>
      <c r="E361" s="66"/>
      <c r="F361" s="64"/>
      <c r="G361" s="13"/>
    </row>
    <row r="362">
      <c r="A362" s="50">
        <v>45982.0</v>
      </c>
      <c r="B362" s="50">
        <v>45982.0</v>
      </c>
      <c r="C362" s="58" t="s">
        <v>628</v>
      </c>
      <c r="D362" s="58" t="s">
        <v>629</v>
      </c>
      <c r="E362" s="53">
        <v>134400.0</v>
      </c>
      <c r="F362" s="59"/>
      <c r="G362" s="8" t="s">
        <v>630</v>
      </c>
    </row>
    <row r="363">
      <c r="A363" s="60"/>
      <c r="B363" s="60"/>
      <c r="C363" s="69">
        <v>800.0</v>
      </c>
      <c r="D363" s="62" t="s">
        <v>631</v>
      </c>
      <c r="E363" s="60"/>
      <c r="F363" s="63"/>
      <c r="G363" s="13"/>
    </row>
    <row r="364">
      <c r="A364" s="60"/>
      <c r="B364" s="60"/>
      <c r="C364" s="60"/>
      <c r="D364" s="62" t="s">
        <v>632</v>
      </c>
      <c r="E364" s="60"/>
      <c r="F364" s="63"/>
      <c r="G364" s="13"/>
    </row>
    <row r="365">
      <c r="A365" s="60"/>
      <c r="B365" s="60"/>
      <c r="C365" s="60"/>
      <c r="D365" s="62" t="s">
        <v>633</v>
      </c>
      <c r="E365" s="60"/>
      <c r="F365" s="63"/>
      <c r="G365" s="13"/>
    </row>
    <row r="366">
      <c r="A366" s="60"/>
      <c r="B366" s="60"/>
      <c r="C366" s="60"/>
      <c r="D366" s="62" t="s">
        <v>634</v>
      </c>
      <c r="E366" s="60"/>
      <c r="F366" s="63"/>
      <c r="G366" s="13"/>
    </row>
    <row r="367">
      <c r="A367" s="64"/>
      <c r="B367" s="64"/>
      <c r="C367" s="64"/>
      <c r="D367" s="65" t="s">
        <v>635</v>
      </c>
      <c r="E367" s="64"/>
      <c r="F367" s="66"/>
      <c r="G367" s="13"/>
    </row>
    <row r="368">
      <c r="A368" s="50">
        <v>45982.0</v>
      </c>
      <c r="B368" s="50">
        <v>45982.0</v>
      </c>
      <c r="C368" s="58" t="s">
        <v>636</v>
      </c>
      <c r="D368" s="58" t="s">
        <v>637</v>
      </c>
      <c r="E368" s="53">
        <v>5000.0</v>
      </c>
      <c r="F368" s="59"/>
      <c r="G368" s="8" t="s">
        <v>638</v>
      </c>
    </row>
    <row r="369">
      <c r="A369" s="60"/>
      <c r="B369" s="60"/>
      <c r="C369" s="61">
        <v>6200.0</v>
      </c>
      <c r="D369" s="62" t="s">
        <v>639</v>
      </c>
      <c r="E369" s="60"/>
      <c r="F369" s="63"/>
      <c r="G369" s="13"/>
    </row>
    <row r="370">
      <c r="A370" s="60"/>
      <c r="B370" s="60"/>
      <c r="C370" s="60"/>
      <c r="D370" s="62" t="s">
        <v>640</v>
      </c>
      <c r="E370" s="60"/>
      <c r="F370" s="63"/>
      <c r="G370" s="13"/>
    </row>
    <row r="371">
      <c r="A371" s="60"/>
      <c r="B371" s="60"/>
      <c r="C371" s="60"/>
      <c r="D371" s="62" t="s">
        <v>641</v>
      </c>
      <c r="E371" s="60"/>
      <c r="F371" s="63"/>
      <c r="G371" s="13"/>
    </row>
    <row r="372">
      <c r="A372" s="64"/>
      <c r="B372" s="64"/>
      <c r="C372" s="64"/>
      <c r="D372" s="65" t="s">
        <v>642</v>
      </c>
      <c r="E372" s="64"/>
      <c r="F372" s="66"/>
      <c r="G372" s="13"/>
    </row>
    <row r="373">
      <c r="A373" s="50">
        <v>45982.0</v>
      </c>
      <c r="B373" s="50">
        <v>45982.0</v>
      </c>
      <c r="C373" s="58" t="s">
        <v>643</v>
      </c>
      <c r="D373" s="58" t="s">
        <v>644</v>
      </c>
      <c r="E373" s="59"/>
      <c r="F373" s="68">
        <v>10.0</v>
      </c>
      <c r="G373" s="8" t="s">
        <v>645</v>
      </c>
    </row>
    <row r="374">
      <c r="A374" s="60"/>
      <c r="B374" s="60"/>
      <c r="C374" s="61">
        <v>282.0</v>
      </c>
      <c r="D374" s="62" t="s">
        <v>646</v>
      </c>
      <c r="E374" s="63"/>
      <c r="F374" s="60"/>
      <c r="G374" s="13"/>
    </row>
    <row r="375">
      <c r="A375" s="60"/>
      <c r="B375" s="60"/>
      <c r="C375" s="60"/>
      <c r="D375" s="62" t="s">
        <v>647</v>
      </c>
      <c r="E375" s="63"/>
      <c r="F375" s="60"/>
      <c r="G375" s="13"/>
    </row>
    <row r="376">
      <c r="A376" s="64"/>
      <c r="B376" s="64"/>
      <c r="C376" s="64"/>
      <c r="D376" s="65" t="s">
        <v>648</v>
      </c>
      <c r="E376" s="66"/>
      <c r="F376" s="64"/>
      <c r="G376" s="13"/>
    </row>
    <row r="377">
      <c r="A377" s="50">
        <v>45982.0</v>
      </c>
      <c r="B377" s="50">
        <v>45982.0</v>
      </c>
      <c r="C377" s="58" t="s">
        <v>649</v>
      </c>
      <c r="D377" s="58" t="s">
        <v>650</v>
      </c>
      <c r="E377" s="59"/>
      <c r="F377" s="53">
        <v>99900.0</v>
      </c>
      <c r="G377" s="8" t="s">
        <v>651</v>
      </c>
    </row>
    <row r="378">
      <c r="A378" s="60"/>
      <c r="B378" s="60"/>
      <c r="C378" s="61">
        <v>665.0</v>
      </c>
      <c r="D378" s="62" t="s">
        <v>652</v>
      </c>
      <c r="E378" s="63"/>
      <c r="F378" s="60"/>
      <c r="G378" s="13"/>
    </row>
    <row r="379">
      <c r="A379" s="60"/>
      <c r="B379" s="60"/>
      <c r="C379" s="60"/>
      <c r="D379" s="62" t="s">
        <v>653</v>
      </c>
      <c r="E379" s="63"/>
      <c r="F379" s="60"/>
      <c r="G379" s="13"/>
    </row>
    <row r="380">
      <c r="A380" s="64"/>
      <c r="B380" s="64"/>
      <c r="C380" s="64"/>
      <c r="D380" s="65" t="s">
        <v>654</v>
      </c>
      <c r="E380" s="66"/>
      <c r="F380" s="64"/>
      <c r="G380" s="13"/>
    </row>
    <row r="381">
      <c r="A381" s="54">
        <v>45982.0</v>
      </c>
      <c r="B381" s="54">
        <v>45982.0</v>
      </c>
      <c r="C381" s="55" t="s">
        <v>655</v>
      </c>
      <c r="D381" s="6" t="s">
        <v>656</v>
      </c>
      <c r="E381" s="56">
        <v>25000.0</v>
      </c>
      <c r="F381" s="6"/>
      <c r="G381" s="8" t="s">
        <v>657</v>
      </c>
    </row>
    <row r="382">
      <c r="A382" s="54">
        <v>45983.0</v>
      </c>
      <c r="B382" s="54">
        <v>45983.0</v>
      </c>
      <c r="C382" s="55" t="s">
        <v>658</v>
      </c>
      <c r="D382" s="6" t="s">
        <v>659</v>
      </c>
      <c r="E382" s="56">
        <v>5000.0</v>
      </c>
      <c r="F382" s="6"/>
      <c r="G382" s="8" t="s">
        <v>660</v>
      </c>
    </row>
    <row r="383">
      <c r="A383" s="54">
        <v>45985.0</v>
      </c>
      <c r="B383" s="54">
        <v>45983.0</v>
      </c>
      <c r="C383" s="80">
        <v>1.11914655953E11</v>
      </c>
      <c r="D383" s="55" t="s">
        <v>661</v>
      </c>
      <c r="E383" s="6"/>
      <c r="F383" s="79">
        <v>2.0</v>
      </c>
      <c r="G383" s="8" t="s">
        <v>269</v>
      </c>
    </row>
    <row r="384">
      <c r="A384" s="54">
        <v>45991.0</v>
      </c>
      <c r="B384" s="54">
        <v>45991.0</v>
      </c>
      <c r="C384" s="55" t="s">
        <v>662</v>
      </c>
      <c r="D384" s="6" t="s">
        <v>663</v>
      </c>
      <c r="E384" s="6"/>
      <c r="F384" s="56">
        <v>50000.0</v>
      </c>
      <c r="G384" s="8" t="s">
        <v>664</v>
      </c>
    </row>
    <row r="385">
      <c r="A385" s="81">
        <v>45991.0</v>
      </c>
      <c r="B385" s="82">
        <v>45964.0</v>
      </c>
      <c r="C385" s="52" t="s">
        <v>665</v>
      </c>
      <c r="D385" s="52" t="s">
        <v>666</v>
      </c>
      <c r="E385" s="6"/>
      <c r="F385" s="83">
        <v>50000.0</v>
      </c>
      <c r="G385" s="8" t="s">
        <v>664</v>
      </c>
    </row>
    <row r="386">
      <c r="A386" s="50">
        <v>45992.0</v>
      </c>
      <c r="B386" s="50">
        <v>45992.0</v>
      </c>
      <c r="C386" s="58" t="s">
        <v>667</v>
      </c>
      <c r="D386" s="58" t="s">
        <v>668</v>
      </c>
      <c r="E386" s="59"/>
      <c r="F386" s="53">
        <v>100000.0</v>
      </c>
      <c r="G386" s="8" t="s">
        <v>669</v>
      </c>
    </row>
    <row r="387">
      <c r="A387" s="60"/>
      <c r="B387" s="60"/>
      <c r="C387" s="61">
        <v>1700.0</v>
      </c>
      <c r="D387" s="62" t="s">
        <v>670</v>
      </c>
      <c r="E387" s="63"/>
      <c r="F387" s="60"/>
      <c r="G387" s="13"/>
    </row>
    <row r="388">
      <c r="A388" s="60"/>
      <c r="B388" s="60"/>
      <c r="C388" s="60"/>
      <c r="D388" s="62" t="s">
        <v>671</v>
      </c>
      <c r="E388" s="63"/>
      <c r="F388" s="60"/>
      <c r="G388" s="13"/>
    </row>
    <row r="389">
      <c r="A389" s="60"/>
      <c r="B389" s="60"/>
      <c r="C389" s="60"/>
      <c r="D389" s="62" t="s">
        <v>672</v>
      </c>
      <c r="E389" s="63"/>
      <c r="F389" s="60"/>
      <c r="G389" s="13"/>
    </row>
    <row r="390">
      <c r="A390" s="64"/>
      <c r="B390" s="64"/>
      <c r="C390" s="64"/>
      <c r="D390" s="65" t="s">
        <v>673</v>
      </c>
      <c r="E390" s="66"/>
      <c r="F390" s="64"/>
      <c r="G390" s="13"/>
    </row>
    <row r="391">
      <c r="A391" s="50">
        <v>45993.0</v>
      </c>
      <c r="B391" s="50">
        <v>45993.0</v>
      </c>
      <c r="C391" s="58" t="s">
        <v>674</v>
      </c>
      <c r="D391" s="58" t="s">
        <v>675</v>
      </c>
      <c r="E391" s="53">
        <v>6327.0</v>
      </c>
      <c r="F391" s="59"/>
      <c r="G391" s="8" t="s">
        <v>676</v>
      </c>
    </row>
    <row r="392">
      <c r="A392" s="60"/>
      <c r="B392" s="60"/>
      <c r="C392" s="61">
        <v>2600.0</v>
      </c>
      <c r="D392" s="62" t="s">
        <v>677</v>
      </c>
      <c r="E392" s="60"/>
      <c r="F392" s="63"/>
      <c r="G392" s="13"/>
    </row>
    <row r="393">
      <c r="A393" s="60"/>
      <c r="B393" s="60"/>
      <c r="C393" s="60"/>
      <c r="D393" s="62" t="s">
        <v>678</v>
      </c>
      <c r="E393" s="60"/>
      <c r="F393" s="63"/>
      <c r="G393" s="13"/>
    </row>
    <row r="394">
      <c r="A394" s="60"/>
      <c r="B394" s="60"/>
      <c r="C394" s="60"/>
      <c r="D394" s="62" t="s">
        <v>679</v>
      </c>
      <c r="E394" s="60"/>
      <c r="F394" s="63"/>
      <c r="G394" s="13"/>
    </row>
    <row r="395">
      <c r="A395" s="60"/>
      <c r="B395" s="60"/>
      <c r="C395" s="60"/>
      <c r="D395" s="62" t="s">
        <v>680</v>
      </c>
      <c r="E395" s="60"/>
      <c r="F395" s="63"/>
      <c r="G395" s="13"/>
    </row>
    <row r="396">
      <c r="A396" s="64"/>
      <c r="B396" s="64"/>
      <c r="C396" s="64"/>
      <c r="D396" s="65" t="s">
        <v>681</v>
      </c>
      <c r="E396" s="64"/>
      <c r="F396" s="66"/>
      <c r="G396" s="13"/>
    </row>
    <row r="397">
      <c r="A397" s="54">
        <v>45994.0</v>
      </c>
      <c r="B397" s="54">
        <v>45994.0</v>
      </c>
      <c r="C397" s="55" t="s">
        <v>682</v>
      </c>
      <c r="D397" s="6" t="s">
        <v>683</v>
      </c>
      <c r="E397" s="56">
        <v>12760.0</v>
      </c>
      <c r="F397" s="6"/>
      <c r="G397" s="8" t="s">
        <v>684</v>
      </c>
    </row>
    <row r="398">
      <c r="A398" s="54">
        <v>45994.0</v>
      </c>
      <c r="B398" s="54">
        <v>45994.0</v>
      </c>
      <c r="C398" s="55" t="s">
        <v>685</v>
      </c>
      <c r="D398" s="6" t="s">
        <v>686</v>
      </c>
      <c r="E398" s="56">
        <v>5200.0</v>
      </c>
      <c r="F398" s="6"/>
      <c r="G398" s="8" t="s">
        <v>687</v>
      </c>
    </row>
    <row r="399">
      <c r="A399" s="54">
        <v>45994.0</v>
      </c>
      <c r="B399" s="54">
        <v>45994.0</v>
      </c>
      <c r="C399" s="57">
        <v>635108.0</v>
      </c>
      <c r="D399" s="55" t="s">
        <v>688</v>
      </c>
      <c r="E399" s="6"/>
      <c r="F399" s="56">
        <v>70000.0</v>
      </c>
      <c r="G399" s="8" t="s">
        <v>689</v>
      </c>
    </row>
    <row r="400">
      <c r="A400" s="54">
        <v>45994.0</v>
      </c>
      <c r="B400" s="54">
        <v>45994.0</v>
      </c>
      <c r="C400" s="55" t="s">
        <v>690</v>
      </c>
      <c r="D400" s="6" t="s">
        <v>691</v>
      </c>
      <c r="E400" s="56">
        <v>408450.0</v>
      </c>
      <c r="F400" s="6"/>
      <c r="G400" s="8" t="s">
        <v>692</v>
      </c>
    </row>
    <row r="401">
      <c r="A401" s="50">
        <v>45995.0</v>
      </c>
      <c r="B401" s="50">
        <v>45995.0</v>
      </c>
      <c r="C401" s="58" t="s">
        <v>693</v>
      </c>
      <c r="D401" s="58" t="s">
        <v>694</v>
      </c>
      <c r="E401" s="53">
        <v>100000.0</v>
      </c>
      <c r="F401" s="59"/>
      <c r="G401" s="8" t="s">
        <v>695</v>
      </c>
    </row>
    <row r="402">
      <c r="A402" s="60"/>
      <c r="B402" s="60"/>
      <c r="C402" s="61">
        <v>9800.0</v>
      </c>
      <c r="D402" s="62" t="s">
        <v>696</v>
      </c>
      <c r="E402" s="60"/>
      <c r="F402" s="63"/>
      <c r="G402" s="13"/>
    </row>
    <row r="403">
      <c r="A403" s="60"/>
      <c r="B403" s="60"/>
      <c r="C403" s="60"/>
      <c r="D403" s="62" t="s">
        <v>697</v>
      </c>
      <c r="E403" s="60"/>
      <c r="F403" s="63"/>
      <c r="G403" s="13"/>
    </row>
    <row r="404">
      <c r="A404" s="60"/>
      <c r="B404" s="60"/>
      <c r="C404" s="60"/>
      <c r="D404" s="62" t="s">
        <v>698</v>
      </c>
      <c r="E404" s="60"/>
      <c r="F404" s="63"/>
      <c r="G404" s="13"/>
    </row>
    <row r="405">
      <c r="A405" s="64"/>
      <c r="B405" s="64"/>
      <c r="C405" s="64"/>
      <c r="D405" s="65" t="s">
        <v>699</v>
      </c>
      <c r="E405" s="64"/>
      <c r="F405" s="66"/>
      <c r="G405" s="13"/>
    </row>
    <row r="406">
      <c r="A406" s="50">
        <v>45995.0</v>
      </c>
      <c r="B406" s="50">
        <v>45995.0</v>
      </c>
      <c r="C406" s="58" t="s">
        <v>700</v>
      </c>
      <c r="D406" s="58" t="s">
        <v>701</v>
      </c>
      <c r="E406" s="53">
        <v>25000.0</v>
      </c>
      <c r="F406" s="59"/>
      <c r="G406" s="8" t="s">
        <v>358</v>
      </c>
    </row>
    <row r="407">
      <c r="A407" s="60"/>
      <c r="B407" s="60"/>
      <c r="C407" s="61">
        <v>5900.0</v>
      </c>
      <c r="D407" s="62" t="s">
        <v>702</v>
      </c>
      <c r="E407" s="60"/>
      <c r="F407" s="63"/>
      <c r="G407" s="13"/>
    </row>
    <row r="408">
      <c r="A408" s="60"/>
      <c r="B408" s="60"/>
      <c r="C408" s="60"/>
      <c r="D408" s="62" t="s">
        <v>703</v>
      </c>
      <c r="E408" s="60"/>
      <c r="F408" s="63"/>
      <c r="G408" s="13"/>
    </row>
    <row r="409">
      <c r="A409" s="60"/>
      <c r="B409" s="60"/>
      <c r="C409" s="60"/>
      <c r="D409" s="62" t="s">
        <v>704</v>
      </c>
      <c r="E409" s="60"/>
      <c r="F409" s="63"/>
      <c r="G409" s="13"/>
    </row>
    <row r="410">
      <c r="A410" s="64"/>
      <c r="B410" s="64"/>
      <c r="C410" s="64"/>
      <c r="D410" s="65" t="s">
        <v>705</v>
      </c>
      <c r="E410" s="64"/>
      <c r="F410" s="66"/>
      <c r="G410" s="13"/>
    </row>
    <row r="411">
      <c r="A411" s="50">
        <v>45995.0</v>
      </c>
      <c r="B411" s="50">
        <v>45995.0</v>
      </c>
      <c r="C411" s="58" t="s">
        <v>706</v>
      </c>
      <c r="D411" s="58" t="s">
        <v>707</v>
      </c>
      <c r="E411" s="59"/>
      <c r="F411" s="53">
        <v>154000.0</v>
      </c>
      <c r="G411" s="8" t="s">
        <v>708</v>
      </c>
    </row>
    <row r="412">
      <c r="A412" s="60"/>
      <c r="B412" s="60"/>
      <c r="C412" s="61">
        <v>6600.0</v>
      </c>
      <c r="D412" s="62" t="s">
        <v>709</v>
      </c>
      <c r="E412" s="63"/>
      <c r="F412" s="60"/>
      <c r="G412" s="13"/>
    </row>
    <row r="413">
      <c r="A413" s="60"/>
      <c r="B413" s="60"/>
      <c r="C413" s="60"/>
      <c r="D413" s="62" t="s">
        <v>710</v>
      </c>
      <c r="E413" s="63"/>
      <c r="F413" s="60"/>
      <c r="G413" s="13"/>
    </row>
    <row r="414">
      <c r="A414" s="64"/>
      <c r="B414" s="64"/>
      <c r="C414" s="64"/>
      <c r="D414" s="65" t="s">
        <v>711</v>
      </c>
      <c r="E414" s="66"/>
      <c r="F414" s="64"/>
      <c r="G414" s="13"/>
    </row>
    <row r="415">
      <c r="A415" s="54">
        <v>45995.0</v>
      </c>
      <c r="B415" s="54">
        <v>45995.0</v>
      </c>
      <c r="C415" s="55" t="s">
        <v>712</v>
      </c>
      <c r="D415" s="6" t="s">
        <v>713</v>
      </c>
      <c r="E415" s="56">
        <v>129000.0</v>
      </c>
      <c r="F415" s="6"/>
      <c r="G415" s="8" t="s">
        <v>714</v>
      </c>
    </row>
    <row r="416">
      <c r="A416" s="54">
        <v>45996.0</v>
      </c>
      <c r="B416" s="54">
        <v>45996.0</v>
      </c>
      <c r="C416" s="55" t="s">
        <v>715</v>
      </c>
      <c r="D416" s="6" t="s">
        <v>716</v>
      </c>
      <c r="E416" s="56">
        <v>1923.0</v>
      </c>
      <c r="F416" s="6"/>
      <c r="G416" s="8" t="s">
        <v>717</v>
      </c>
    </row>
    <row r="417">
      <c r="A417" s="54">
        <v>45997.0</v>
      </c>
      <c r="B417" s="54">
        <v>45997.0</v>
      </c>
      <c r="C417" s="57">
        <v>472831.0</v>
      </c>
      <c r="D417" s="55" t="s">
        <v>718</v>
      </c>
      <c r="E417" s="6"/>
      <c r="F417" s="56">
        <v>200000.0</v>
      </c>
      <c r="G417" s="8" t="s">
        <v>719</v>
      </c>
    </row>
    <row r="418">
      <c r="A418" s="54">
        <v>45998.0</v>
      </c>
      <c r="B418" s="54">
        <v>45998.0</v>
      </c>
      <c r="C418" s="55" t="s">
        <v>720</v>
      </c>
      <c r="D418" s="6" t="s">
        <v>721</v>
      </c>
      <c r="E418" s="56">
        <v>154000.0</v>
      </c>
      <c r="F418" s="6"/>
      <c r="G418" s="8" t="s">
        <v>708</v>
      </c>
    </row>
    <row r="419">
      <c r="A419" s="50">
        <v>45998.0</v>
      </c>
      <c r="B419" s="50">
        <v>45998.0</v>
      </c>
      <c r="C419" s="58" t="s">
        <v>722</v>
      </c>
      <c r="D419" s="58" t="s">
        <v>723</v>
      </c>
      <c r="E419" s="53">
        <v>8500.0</v>
      </c>
      <c r="F419" s="59"/>
      <c r="G419" s="8" t="s">
        <v>724</v>
      </c>
    </row>
    <row r="420">
      <c r="A420" s="60"/>
      <c r="B420" s="60"/>
      <c r="C420" s="61">
        <v>7400.0</v>
      </c>
      <c r="D420" s="62" t="s">
        <v>725</v>
      </c>
      <c r="E420" s="60"/>
      <c r="F420" s="63"/>
      <c r="G420" s="13"/>
    </row>
    <row r="421">
      <c r="A421" s="60"/>
      <c r="B421" s="60"/>
      <c r="C421" s="60"/>
      <c r="D421" s="62" t="s">
        <v>726</v>
      </c>
      <c r="E421" s="60"/>
      <c r="F421" s="63"/>
      <c r="G421" s="13"/>
    </row>
    <row r="422">
      <c r="A422" s="60"/>
      <c r="B422" s="60"/>
      <c r="C422" s="60"/>
      <c r="D422" s="62" t="s">
        <v>727</v>
      </c>
      <c r="E422" s="60"/>
      <c r="F422" s="63"/>
      <c r="G422" s="13"/>
    </row>
    <row r="423">
      <c r="A423" s="64"/>
      <c r="B423" s="64"/>
      <c r="C423" s="64"/>
      <c r="D423" s="65" t="s">
        <v>728</v>
      </c>
      <c r="E423" s="64"/>
      <c r="F423" s="66"/>
      <c r="G423" s="13"/>
    </row>
    <row r="424">
      <c r="A424" s="50">
        <v>45998.0</v>
      </c>
      <c r="B424" s="50">
        <v>45998.0</v>
      </c>
      <c r="C424" s="58" t="s">
        <v>729</v>
      </c>
      <c r="D424" s="58" t="s">
        <v>730</v>
      </c>
      <c r="E424" s="53">
        <v>8496.0</v>
      </c>
      <c r="F424" s="59"/>
      <c r="G424" s="8" t="s">
        <v>731</v>
      </c>
    </row>
    <row r="425">
      <c r="A425" s="60"/>
      <c r="B425" s="60"/>
      <c r="C425" s="61">
        <v>2200.0</v>
      </c>
      <c r="D425" s="62" t="s">
        <v>732</v>
      </c>
      <c r="E425" s="60"/>
      <c r="F425" s="63"/>
      <c r="G425" s="13"/>
    </row>
    <row r="426">
      <c r="A426" s="60"/>
      <c r="B426" s="60"/>
      <c r="C426" s="60"/>
      <c r="D426" s="62" t="s">
        <v>733</v>
      </c>
      <c r="E426" s="60"/>
      <c r="F426" s="63"/>
      <c r="G426" s="13"/>
    </row>
    <row r="427">
      <c r="A427" s="60"/>
      <c r="B427" s="60"/>
      <c r="C427" s="60"/>
      <c r="D427" s="62" t="s">
        <v>734</v>
      </c>
      <c r="E427" s="60"/>
      <c r="F427" s="63"/>
      <c r="G427" s="13"/>
    </row>
    <row r="428">
      <c r="A428" s="64"/>
      <c r="B428" s="64"/>
      <c r="C428" s="64"/>
      <c r="D428" s="65" t="s">
        <v>735</v>
      </c>
      <c r="E428" s="64"/>
      <c r="F428" s="66"/>
      <c r="G428" s="13"/>
    </row>
    <row r="429">
      <c r="A429" s="50">
        <v>45998.0</v>
      </c>
      <c r="B429" s="50">
        <v>45998.0</v>
      </c>
      <c r="C429" s="67">
        <v>2.02512072219281E14</v>
      </c>
      <c r="D429" s="58" t="s">
        <v>736</v>
      </c>
      <c r="E429" s="53">
        <v>1000.0</v>
      </c>
      <c r="F429" s="59"/>
      <c r="G429" s="8" t="s">
        <v>737</v>
      </c>
    </row>
    <row r="430">
      <c r="A430" s="60"/>
      <c r="B430" s="60"/>
      <c r="C430" s="61">
        <v>43266.0</v>
      </c>
      <c r="D430" s="62" t="s">
        <v>738</v>
      </c>
      <c r="E430" s="60"/>
      <c r="F430" s="63"/>
      <c r="G430" s="13"/>
    </row>
    <row r="431">
      <c r="A431" s="60"/>
      <c r="B431" s="60"/>
      <c r="C431" s="60"/>
      <c r="D431" s="62" t="s">
        <v>739</v>
      </c>
      <c r="E431" s="60"/>
      <c r="F431" s="63"/>
      <c r="G431" s="13"/>
    </row>
    <row r="432">
      <c r="A432" s="64"/>
      <c r="B432" s="64"/>
      <c r="C432" s="64"/>
      <c r="D432" s="65" t="s">
        <v>740</v>
      </c>
      <c r="E432" s="64"/>
      <c r="F432" s="66"/>
      <c r="G432" s="13"/>
    </row>
    <row r="433">
      <c r="A433" s="50">
        <v>45999.0</v>
      </c>
      <c r="B433" s="50">
        <v>45999.0</v>
      </c>
      <c r="C433" s="58" t="s">
        <v>741</v>
      </c>
      <c r="D433" s="58" t="s">
        <v>742</v>
      </c>
      <c r="E433" s="53">
        <v>15000.0</v>
      </c>
      <c r="F433" s="59"/>
      <c r="G433" s="8" t="s">
        <v>743</v>
      </c>
    </row>
    <row r="434">
      <c r="A434" s="60"/>
      <c r="B434" s="60"/>
      <c r="C434" s="61">
        <v>7700.0</v>
      </c>
      <c r="D434" s="62" t="s">
        <v>744</v>
      </c>
      <c r="E434" s="60"/>
      <c r="F434" s="63"/>
      <c r="G434" s="13"/>
    </row>
    <row r="435">
      <c r="A435" s="60"/>
      <c r="B435" s="60"/>
      <c r="C435" s="60"/>
      <c r="D435" s="62" t="s">
        <v>745</v>
      </c>
      <c r="E435" s="60"/>
      <c r="F435" s="63"/>
      <c r="G435" s="13"/>
    </row>
    <row r="436">
      <c r="A436" s="60"/>
      <c r="B436" s="60"/>
      <c r="C436" s="60"/>
      <c r="D436" s="62" t="s">
        <v>746</v>
      </c>
      <c r="E436" s="60"/>
      <c r="F436" s="63"/>
      <c r="G436" s="13"/>
    </row>
    <row r="437">
      <c r="A437" s="64"/>
      <c r="B437" s="64"/>
      <c r="C437" s="64"/>
      <c r="D437" s="65" t="s">
        <v>747</v>
      </c>
      <c r="E437" s="64"/>
      <c r="F437" s="66"/>
      <c r="G437" s="13"/>
    </row>
    <row r="438">
      <c r="A438" s="50">
        <v>45999.0</v>
      </c>
      <c r="B438" s="50">
        <v>45999.0</v>
      </c>
      <c r="C438" s="58" t="s">
        <v>748</v>
      </c>
      <c r="D438" s="58" t="s">
        <v>749</v>
      </c>
      <c r="E438" s="53">
        <v>25000.0</v>
      </c>
      <c r="F438" s="59"/>
      <c r="G438" s="8" t="s">
        <v>750</v>
      </c>
    </row>
    <row r="439">
      <c r="A439" s="60"/>
      <c r="B439" s="60"/>
      <c r="C439" s="61">
        <v>3200.0</v>
      </c>
      <c r="D439" s="62" t="s">
        <v>751</v>
      </c>
      <c r="E439" s="60"/>
      <c r="F439" s="63"/>
      <c r="G439" s="13"/>
    </row>
    <row r="440">
      <c r="A440" s="60"/>
      <c r="B440" s="60"/>
      <c r="C440" s="60"/>
      <c r="D440" s="62" t="s">
        <v>752</v>
      </c>
      <c r="E440" s="60"/>
      <c r="F440" s="63"/>
      <c r="G440" s="13"/>
    </row>
    <row r="441">
      <c r="A441" s="60"/>
      <c r="B441" s="60"/>
      <c r="C441" s="60"/>
      <c r="D441" s="62" t="s">
        <v>753</v>
      </c>
      <c r="E441" s="60"/>
      <c r="F441" s="63"/>
      <c r="G441" s="13"/>
    </row>
    <row r="442">
      <c r="A442" s="60"/>
      <c r="B442" s="60"/>
      <c r="C442" s="60"/>
      <c r="D442" s="62" t="s">
        <v>754</v>
      </c>
      <c r="E442" s="60"/>
      <c r="F442" s="63"/>
      <c r="G442" s="13"/>
    </row>
    <row r="443">
      <c r="A443" s="64"/>
      <c r="B443" s="64"/>
      <c r="C443" s="64"/>
      <c r="D443" s="73" t="s">
        <v>755</v>
      </c>
      <c r="E443" s="64"/>
      <c r="F443" s="66"/>
      <c r="G443" s="13"/>
    </row>
    <row r="444">
      <c r="A444" s="50">
        <v>45999.0</v>
      </c>
      <c r="B444" s="50">
        <v>45999.0</v>
      </c>
      <c r="C444" s="67">
        <v>2.02512081354462E14</v>
      </c>
      <c r="D444" s="58" t="s">
        <v>756</v>
      </c>
      <c r="E444" s="68">
        <v>800.0</v>
      </c>
      <c r="F444" s="59"/>
      <c r="G444" s="8" t="s">
        <v>757</v>
      </c>
    </row>
    <row r="445">
      <c r="A445" s="60"/>
      <c r="B445" s="60"/>
      <c r="C445" s="61">
        <v>93862.0</v>
      </c>
      <c r="D445" s="62" t="s">
        <v>758</v>
      </c>
      <c r="E445" s="60"/>
      <c r="F445" s="63"/>
      <c r="G445" s="13"/>
    </row>
    <row r="446">
      <c r="A446" s="60"/>
      <c r="B446" s="60"/>
      <c r="C446" s="60"/>
      <c r="D446" s="62" t="s">
        <v>759</v>
      </c>
      <c r="E446" s="60"/>
      <c r="F446" s="63"/>
      <c r="G446" s="13"/>
    </row>
    <row r="447">
      <c r="A447" s="64"/>
      <c r="B447" s="64"/>
      <c r="C447" s="64"/>
      <c r="D447" s="65" t="s">
        <v>760</v>
      </c>
      <c r="E447" s="64"/>
      <c r="F447" s="66"/>
      <c r="G447" s="13"/>
    </row>
    <row r="448">
      <c r="A448" s="54">
        <v>45999.0</v>
      </c>
      <c r="B448" s="54">
        <v>45999.0</v>
      </c>
      <c r="C448" s="55" t="s">
        <v>761</v>
      </c>
      <c r="D448" s="6" t="s">
        <v>762</v>
      </c>
      <c r="E448" s="56">
        <v>82000.0</v>
      </c>
      <c r="F448" s="6"/>
      <c r="G448" s="8" t="s">
        <v>763</v>
      </c>
    </row>
    <row r="449">
      <c r="A449" s="54">
        <v>46000.0</v>
      </c>
      <c r="B449" s="54">
        <v>46000.0</v>
      </c>
      <c r="C449" s="55" t="s">
        <v>764</v>
      </c>
      <c r="D449" s="6" t="s">
        <v>765</v>
      </c>
      <c r="E449" s="56">
        <v>14396.0</v>
      </c>
      <c r="F449" s="6"/>
      <c r="G449" s="8" t="s">
        <v>766</v>
      </c>
    </row>
    <row r="450">
      <c r="A450" s="54">
        <v>46000.0</v>
      </c>
      <c r="B450" s="54">
        <v>46000.0</v>
      </c>
      <c r="C450" s="57">
        <v>635110.0</v>
      </c>
      <c r="D450" s="55" t="s">
        <v>767</v>
      </c>
      <c r="E450" s="6"/>
      <c r="F450" s="56">
        <v>40000.0</v>
      </c>
      <c r="G450" s="8" t="s">
        <v>768</v>
      </c>
    </row>
    <row r="451">
      <c r="A451" s="54">
        <v>46005.0</v>
      </c>
      <c r="B451" s="54">
        <v>46005.0</v>
      </c>
      <c r="C451" s="55" t="s">
        <v>769</v>
      </c>
      <c r="D451" s="6" t="s">
        <v>770</v>
      </c>
      <c r="E451" s="6"/>
      <c r="F451" s="79">
        <v>1.0</v>
      </c>
      <c r="G451" s="8" t="s">
        <v>771</v>
      </c>
    </row>
    <row r="452">
      <c r="A452" s="50">
        <v>46005.0</v>
      </c>
      <c r="B452" s="50">
        <v>46005.0</v>
      </c>
      <c r="C452" s="58" t="s">
        <v>772</v>
      </c>
      <c r="D452" s="58" t="s">
        <v>773</v>
      </c>
      <c r="E452" s="59"/>
      <c r="F452" s="53">
        <v>50000.0</v>
      </c>
      <c r="G452" s="8" t="s">
        <v>774</v>
      </c>
    </row>
    <row r="453">
      <c r="A453" s="60"/>
      <c r="B453" s="60"/>
      <c r="C453" s="61">
        <v>659.0</v>
      </c>
      <c r="D453" s="62" t="s">
        <v>775</v>
      </c>
      <c r="E453" s="63"/>
      <c r="F453" s="60"/>
      <c r="G453" s="13"/>
    </row>
    <row r="454">
      <c r="A454" s="64"/>
      <c r="B454" s="64"/>
      <c r="C454" s="64"/>
      <c r="D454" s="65" t="s">
        <v>776</v>
      </c>
      <c r="E454" s="66"/>
      <c r="F454" s="64"/>
      <c r="G454" s="13"/>
    </row>
    <row r="455">
      <c r="A455" s="50">
        <v>46005.0</v>
      </c>
      <c r="B455" s="50">
        <v>46005.0</v>
      </c>
      <c r="C455" s="67">
        <v>2.02512141854193E14</v>
      </c>
      <c r="D455" s="58" t="s">
        <v>777</v>
      </c>
      <c r="E455" s="53">
        <v>1270.55</v>
      </c>
      <c r="F455" s="59"/>
      <c r="G455" s="8" t="s">
        <v>269</v>
      </c>
    </row>
    <row r="456">
      <c r="A456" s="60"/>
      <c r="B456" s="60"/>
      <c r="C456" s="61">
        <v>25483.0</v>
      </c>
      <c r="D456" s="62" t="s">
        <v>778</v>
      </c>
      <c r="E456" s="60"/>
      <c r="F456" s="63"/>
      <c r="G456" s="13"/>
    </row>
    <row r="457">
      <c r="A457" s="60"/>
      <c r="B457" s="60"/>
      <c r="C457" s="60"/>
      <c r="D457" s="62" t="s">
        <v>779</v>
      </c>
      <c r="E457" s="60"/>
      <c r="F457" s="63"/>
      <c r="G457" s="13"/>
    </row>
    <row r="458">
      <c r="A458" s="64"/>
      <c r="B458" s="64"/>
      <c r="C458" s="64"/>
      <c r="D458" s="65" t="s">
        <v>780</v>
      </c>
      <c r="E458" s="64"/>
      <c r="F458" s="66"/>
      <c r="G458" s="13"/>
    </row>
    <row r="459">
      <c r="A459" s="50">
        <v>46005.0</v>
      </c>
      <c r="B459" s="50">
        <v>46005.0</v>
      </c>
      <c r="C459" s="58" t="s">
        <v>781</v>
      </c>
      <c r="D459" s="58" t="s">
        <v>782</v>
      </c>
      <c r="E459" s="53">
        <v>4000.0</v>
      </c>
      <c r="F459" s="59"/>
      <c r="G459" s="8" t="s">
        <v>17</v>
      </c>
    </row>
    <row r="460">
      <c r="A460" s="60"/>
      <c r="B460" s="60"/>
      <c r="C460" s="61">
        <v>4400.0</v>
      </c>
      <c r="D460" s="62" t="s">
        <v>783</v>
      </c>
      <c r="E460" s="60"/>
      <c r="F460" s="63"/>
      <c r="G460" s="13"/>
    </row>
    <row r="461">
      <c r="A461" s="60"/>
      <c r="B461" s="60"/>
      <c r="C461" s="60"/>
      <c r="D461" s="62" t="s">
        <v>784</v>
      </c>
      <c r="E461" s="60"/>
      <c r="F461" s="63"/>
      <c r="G461" s="13"/>
    </row>
    <row r="462">
      <c r="A462" s="60"/>
      <c r="B462" s="60"/>
      <c r="C462" s="60"/>
      <c r="D462" s="62" t="s">
        <v>785</v>
      </c>
      <c r="E462" s="60"/>
      <c r="F462" s="63"/>
      <c r="G462" s="13"/>
    </row>
    <row r="463">
      <c r="A463" s="64"/>
      <c r="B463" s="64"/>
      <c r="C463" s="64"/>
      <c r="D463" s="65" t="s">
        <v>786</v>
      </c>
      <c r="E463" s="64"/>
      <c r="F463" s="66"/>
      <c r="G463" s="13"/>
    </row>
    <row r="464">
      <c r="A464" s="50">
        <v>46006.0</v>
      </c>
      <c r="B464" s="50">
        <v>46006.0</v>
      </c>
      <c r="C464" s="58" t="s">
        <v>787</v>
      </c>
      <c r="D464" s="58" t="s">
        <v>788</v>
      </c>
      <c r="E464" s="59"/>
      <c r="F464" s="53">
        <v>50000.0</v>
      </c>
      <c r="G464" s="8" t="s">
        <v>789</v>
      </c>
    </row>
    <row r="465">
      <c r="A465" s="60"/>
      <c r="B465" s="60"/>
      <c r="C465" s="61">
        <v>199.0</v>
      </c>
      <c r="D465" s="62" t="s">
        <v>790</v>
      </c>
      <c r="E465" s="63"/>
      <c r="F465" s="60"/>
      <c r="G465" s="13"/>
    </row>
    <row r="466">
      <c r="A466" s="60"/>
      <c r="B466" s="60"/>
      <c r="C466" s="60"/>
      <c r="D466" s="62" t="s">
        <v>791</v>
      </c>
      <c r="E466" s="63"/>
      <c r="F466" s="60"/>
      <c r="G466" s="13"/>
    </row>
    <row r="467">
      <c r="A467" s="64"/>
      <c r="B467" s="64"/>
      <c r="C467" s="64"/>
      <c r="D467" s="65" t="s">
        <v>792</v>
      </c>
      <c r="E467" s="66"/>
      <c r="F467" s="64"/>
      <c r="G467" s="13"/>
    </row>
    <row r="468">
      <c r="A468" s="50">
        <v>46006.0</v>
      </c>
      <c r="B468" s="50">
        <v>46006.0</v>
      </c>
      <c r="C468" s="58" t="s">
        <v>793</v>
      </c>
      <c r="D468" s="58" t="s">
        <v>794</v>
      </c>
      <c r="E468" s="53">
        <v>24500.0</v>
      </c>
      <c r="F468" s="59"/>
      <c r="G468" s="8" t="s">
        <v>795</v>
      </c>
    </row>
    <row r="469">
      <c r="A469" s="60"/>
      <c r="B469" s="60"/>
      <c r="C469" s="61">
        <v>7800.0</v>
      </c>
      <c r="D469" s="62" t="s">
        <v>796</v>
      </c>
      <c r="E469" s="60"/>
      <c r="F469" s="63"/>
      <c r="G469" s="13"/>
    </row>
    <row r="470">
      <c r="A470" s="60"/>
      <c r="B470" s="60"/>
      <c r="C470" s="60"/>
      <c r="D470" s="62" t="s">
        <v>797</v>
      </c>
      <c r="E470" s="60"/>
      <c r="F470" s="63"/>
      <c r="G470" s="13"/>
    </row>
    <row r="471">
      <c r="A471" s="60"/>
      <c r="B471" s="60"/>
      <c r="C471" s="60"/>
      <c r="D471" s="62" t="s">
        <v>798</v>
      </c>
      <c r="E471" s="60"/>
      <c r="F471" s="63"/>
      <c r="G471" s="13"/>
    </row>
    <row r="472">
      <c r="A472" s="64"/>
      <c r="B472" s="64"/>
      <c r="C472" s="64"/>
      <c r="D472" s="65" t="s">
        <v>799</v>
      </c>
      <c r="E472" s="64"/>
      <c r="F472" s="66"/>
      <c r="G472" s="13"/>
    </row>
    <row r="473">
      <c r="A473" s="50">
        <v>46007.0</v>
      </c>
      <c r="B473" s="50">
        <v>46007.0</v>
      </c>
      <c r="C473" s="58" t="s">
        <v>800</v>
      </c>
      <c r="D473" s="58" t="s">
        <v>801</v>
      </c>
      <c r="E473" s="53">
        <v>15000.0</v>
      </c>
      <c r="F473" s="59"/>
      <c r="G473" s="8" t="s">
        <v>802</v>
      </c>
    </row>
    <row r="474">
      <c r="A474" s="60"/>
      <c r="B474" s="60"/>
      <c r="C474" s="61">
        <v>8900.0</v>
      </c>
      <c r="D474" s="62" t="s">
        <v>803</v>
      </c>
      <c r="E474" s="60"/>
      <c r="F474" s="63"/>
      <c r="G474" s="13"/>
    </row>
    <row r="475">
      <c r="A475" s="60"/>
      <c r="B475" s="60"/>
      <c r="C475" s="60"/>
      <c r="D475" s="62" t="s">
        <v>804</v>
      </c>
      <c r="E475" s="60"/>
      <c r="F475" s="63"/>
      <c r="G475" s="13"/>
    </row>
    <row r="476">
      <c r="A476" s="60"/>
      <c r="B476" s="60"/>
      <c r="C476" s="60"/>
      <c r="D476" s="62" t="s">
        <v>805</v>
      </c>
      <c r="E476" s="60"/>
      <c r="F476" s="63"/>
      <c r="G476" s="13"/>
    </row>
    <row r="477">
      <c r="A477" s="64"/>
      <c r="B477" s="64"/>
      <c r="C477" s="64"/>
      <c r="D477" s="65" t="s">
        <v>806</v>
      </c>
      <c r="E477" s="64"/>
      <c r="F477" s="66"/>
      <c r="G477" s="13"/>
    </row>
    <row r="478">
      <c r="A478" s="50">
        <v>46007.0</v>
      </c>
      <c r="B478" s="50">
        <v>46007.0</v>
      </c>
      <c r="C478" s="58" t="s">
        <v>807</v>
      </c>
      <c r="D478" s="58" t="s">
        <v>808</v>
      </c>
      <c r="E478" s="68">
        <v>500.0</v>
      </c>
      <c r="F478" s="59"/>
      <c r="G478" s="8" t="s">
        <v>809</v>
      </c>
    </row>
    <row r="479">
      <c r="A479" s="60"/>
      <c r="B479" s="60"/>
      <c r="C479" s="61">
        <v>9700.0</v>
      </c>
      <c r="D479" s="62" t="s">
        <v>810</v>
      </c>
      <c r="E479" s="60"/>
      <c r="F479" s="63"/>
      <c r="G479" s="13"/>
    </row>
    <row r="480">
      <c r="A480" s="60"/>
      <c r="B480" s="60"/>
      <c r="C480" s="60"/>
      <c r="D480" s="62" t="s">
        <v>811</v>
      </c>
      <c r="E480" s="60"/>
      <c r="F480" s="63"/>
      <c r="G480" s="13"/>
    </row>
    <row r="481">
      <c r="A481" s="60"/>
      <c r="B481" s="60"/>
      <c r="C481" s="60"/>
      <c r="D481" s="62" t="s">
        <v>812</v>
      </c>
      <c r="E481" s="60"/>
      <c r="F481" s="63"/>
      <c r="G481" s="13"/>
    </row>
    <row r="482">
      <c r="A482" s="64"/>
      <c r="B482" s="64"/>
      <c r="C482" s="64"/>
      <c r="D482" s="65" t="s">
        <v>813</v>
      </c>
      <c r="E482" s="64"/>
      <c r="F482" s="66"/>
      <c r="G482" s="13"/>
    </row>
    <row r="483">
      <c r="A483" s="50">
        <v>46008.0</v>
      </c>
      <c r="B483" s="50">
        <v>46008.0</v>
      </c>
      <c r="C483" s="58" t="s">
        <v>814</v>
      </c>
      <c r="D483" s="58" t="s">
        <v>815</v>
      </c>
      <c r="E483" s="53">
        <v>153510.0</v>
      </c>
      <c r="F483" s="59"/>
      <c r="G483" s="8" t="s">
        <v>816</v>
      </c>
    </row>
    <row r="484">
      <c r="A484" s="60"/>
      <c r="B484" s="60"/>
      <c r="C484" s="61">
        <v>2800.0</v>
      </c>
      <c r="D484" s="62" t="s">
        <v>817</v>
      </c>
      <c r="E484" s="60"/>
      <c r="F484" s="63"/>
      <c r="G484" s="13"/>
    </row>
    <row r="485">
      <c r="A485" s="60"/>
      <c r="B485" s="60"/>
      <c r="C485" s="60"/>
      <c r="D485" s="62" t="s">
        <v>818</v>
      </c>
      <c r="E485" s="60"/>
      <c r="F485" s="63"/>
      <c r="G485" s="13"/>
    </row>
    <row r="486">
      <c r="A486" s="60"/>
      <c r="B486" s="60"/>
      <c r="C486" s="60"/>
      <c r="D486" s="62" t="s">
        <v>819</v>
      </c>
      <c r="E486" s="60"/>
      <c r="F486" s="63"/>
      <c r="G486" s="13"/>
    </row>
    <row r="487">
      <c r="A487" s="64"/>
      <c r="B487" s="64"/>
      <c r="C487" s="64"/>
      <c r="D487" s="65" t="s">
        <v>820</v>
      </c>
      <c r="E487" s="64"/>
      <c r="F487" s="66"/>
      <c r="G487" s="13"/>
    </row>
    <row r="488">
      <c r="A488" s="50">
        <v>46008.0</v>
      </c>
      <c r="B488" s="50">
        <v>46008.0</v>
      </c>
      <c r="C488" s="58" t="s">
        <v>821</v>
      </c>
      <c r="D488" s="58" t="s">
        <v>822</v>
      </c>
      <c r="E488" s="53">
        <v>17000.0</v>
      </c>
      <c r="F488" s="59"/>
      <c r="G488" s="8" t="s">
        <v>823</v>
      </c>
    </row>
    <row r="489">
      <c r="A489" s="60"/>
      <c r="B489" s="60"/>
      <c r="C489" s="61">
        <v>1200.0</v>
      </c>
      <c r="D489" s="62" t="s">
        <v>824</v>
      </c>
      <c r="E489" s="60"/>
      <c r="F489" s="63"/>
      <c r="G489" s="13"/>
    </row>
    <row r="490">
      <c r="A490" s="60"/>
      <c r="B490" s="60"/>
      <c r="C490" s="60"/>
      <c r="D490" s="62" t="s">
        <v>825</v>
      </c>
      <c r="E490" s="60"/>
      <c r="F490" s="63"/>
      <c r="G490" s="13"/>
    </row>
    <row r="491">
      <c r="A491" s="60"/>
      <c r="B491" s="60"/>
      <c r="C491" s="60"/>
      <c r="D491" s="62" t="s">
        <v>826</v>
      </c>
      <c r="E491" s="60"/>
      <c r="F491" s="63"/>
      <c r="G491" s="13"/>
    </row>
    <row r="492">
      <c r="A492" s="64"/>
      <c r="B492" s="64"/>
      <c r="C492" s="64"/>
      <c r="D492" s="65" t="s">
        <v>827</v>
      </c>
      <c r="E492" s="64"/>
      <c r="F492" s="66"/>
      <c r="G492" s="13"/>
    </row>
    <row r="493">
      <c r="A493" s="50">
        <v>46010.0</v>
      </c>
      <c r="B493" s="50">
        <v>46010.0</v>
      </c>
      <c r="C493" s="58" t="s">
        <v>828</v>
      </c>
      <c r="D493" s="58" t="s">
        <v>829</v>
      </c>
      <c r="E493" s="68">
        <v>900.0</v>
      </c>
      <c r="F493" s="59"/>
      <c r="G493" s="8" t="s">
        <v>17</v>
      </c>
    </row>
    <row r="494">
      <c r="A494" s="60"/>
      <c r="B494" s="60"/>
      <c r="C494" s="61">
        <v>8600.0</v>
      </c>
      <c r="D494" s="62" t="s">
        <v>830</v>
      </c>
      <c r="E494" s="60"/>
      <c r="F494" s="63"/>
      <c r="G494" s="13"/>
    </row>
    <row r="495">
      <c r="A495" s="60"/>
      <c r="B495" s="60"/>
      <c r="C495" s="60"/>
      <c r="D495" s="62" t="s">
        <v>831</v>
      </c>
      <c r="E495" s="60"/>
      <c r="F495" s="63"/>
      <c r="G495" s="13"/>
    </row>
    <row r="496">
      <c r="A496" s="60"/>
      <c r="B496" s="60"/>
      <c r="C496" s="60"/>
      <c r="D496" s="62" t="s">
        <v>832</v>
      </c>
      <c r="E496" s="60"/>
      <c r="F496" s="63"/>
      <c r="G496" s="13"/>
    </row>
    <row r="497">
      <c r="A497" s="64"/>
      <c r="B497" s="64"/>
      <c r="C497" s="64"/>
      <c r="D497" s="65" t="s">
        <v>833</v>
      </c>
      <c r="E497" s="64"/>
      <c r="F497" s="66"/>
      <c r="G497" s="13"/>
    </row>
    <row r="498">
      <c r="A498" s="50">
        <v>46010.0</v>
      </c>
      <c r="B498" s="50">
        <v>46010.0</v>
      </c>
      <c r="C498" s="58" t="s">
        <v>834</v>
      </c>
      <c r="D498" s="58" t="s">
        <v>835</v>
      </c>
      <c r="E498" s="53">
        <v>11580.0</v>
      </c>
      <c r="F498" s="59"/>
      <c r="G498" s="8" t="s">
        <v>836</v>
      </c>
    </row>
    <row r="499">
      <c r="A499" s="60"/>
      <c r="B499" s="60"/>
      <c r="C499" s="61">
        <v>2200.0</v>
      </c>
      <c r="D499" s="62" t="s">
        <v>837</v>
      </c>
      <c r="E499" s="60"/>
      <c r="F499" s="63"/>
      <c r="G499" s="13"/>
    </row>
    <row r="500">
      <c r="A500" s="60"/>
      <c r="B500" s="60"/>
      <c r="C500" s="60"/>
      <c r="D500" s="62" t="s">
        <v>838</v>
      </c>
      <c r="E500" s="60"/>
      <c r="F500" s="63"/>
      <c r="G500" s="13"/>
    </row>
    <row r="501">
      <c r="A501" s="60"/>
      <c r="B501" s="60"/>
      <c r="C501" s="60"/>
      <c r="D501" s="62" t="s">
        <v>839</v>
      </c>
      <c r="E501" s="60"/>
      <c r="F501" s="63"/>
      <c r="G501" s="13"/>
    </row>
    <row r="502">
      <c r="A502" s="64"/>
      <c r="B502" s="64"/>
      <c r="C502" s="64"/>
      <c r="D502" s="65" t="s">
        <v>840</v>
      </c>
      <c r="E502" s="64"/>
      <c r="F502" s="66"/>
      <c r="G502" s="13"/>
    </row>
    <row r="503">
      <c r="A503" s="50">
        <v>46010.0</v>
      </c>
      <c r="B503" s="50">
        <v>46010.0</v>
      </c>
      <c r="C503" s="67">
        <v>2.02512191312084E14</v>
      </c>
      <c r="D503" s="58" t="s">
        <v>841</v>
      </c>
      <c r="E503" s="68">
        <v>132.0</v>
      </c>
      <c r="F503" s="59"/>
      <c r="G503" s="8" t="s">
        <v>842</v>
      </c>
    </row>
    <row r="504">
      <c r="A504" s="60"/>
      <c r="B504" s="60"/>
      <c r="C504" s="61">
        <v>37194.0</v>
      </c>
      <c r="D504" s="62" t="s">
        <v>843</v>
      </c>
      <c r="E504" s="60"/>
      <c r="F504" s="63"/>
      <c r="G504" s="13"/>
    </row>
    <row r="505">
      <c r="A505" s="60"/>
      <c r="B505" s="60"/>
      <c r="C505" s="60"/>
      <c r="D505" s="62" t="s">
        <v>844</v>
      </c>
      <c r="E505" s="60"/>
      <c r="F505" s="63"/>
      <c r="G505" s="13"/>
    </row>
    <row r="506">
      <c r="A506" s="64"/>
      <c r="B506" s="64"/>
      <c r="C506" s="64"/>
      <c r="D506" s="65" t="s">
        <v>845</v>
      </c>
      <c r="E506" s="64"/>
      <c r="F506" s="66"/>
      <c r="G506" s="13"/>
    </row>
    <row r="507">
      <c r="A507" s="50">
        <v>46010.0</v>
      </c>
      <c r="B507" s="50">
        <v>46010.0</v>
      </c>
      <c r="C507" s="58" t="s">
        <v>846</v>
      </c>
      <c r="D507" s="58" t="s">
        <v>847</v>
      </c>
      <c r="E507" s="53">
        <v>2754.0</v>
      </c>
      <c r="F507" s="59"/>
      <c r="G507" s="8" t="s">
        <v>17</v>
      </c>
    </row>
    <row r="508">
      <c r="A508" s="60"/>
      <c r="B508" s="60"/>
      <c r="C508" s="61">
        <v>7700.0</v>
      </c>
      <c r="D508" s="62" t="s">
        <v>848</v>
      </c>
      <c r="E508" s="60"/>
      <c r="F508" s="63"/>
      <c r="G508" s="13"/>
    </row>
    <row r="509">
      <c r="A509" s="60"/>
      <c r="B509" s="60"/>
      <c r="C509" s="60"/>
      <c r="D509" s="62" t="s">
        <v>849</v>
      </c>
      <c r="E509" s="60"/>
      <c r="F509" s="63"/>
      <c r="G509" s="13"/>
    </row>
    <row r="510">
      <c r="A510" s="60"/>
      <c r="B510" s="60"/>
      <c r="C510" s="60"/>
      <c r="D510" s="62" t="s">
        <v>850</v>
      </c>
      <c r="E510" s="60"/>
      <c r="F510" s="63"/>
      <c r="G510" s="13"/>
    </row>
    <row r="511">
      <c r="A511" s="64"/>
      <c r="B511" s="64"/>
      <c r="C511" s="64"/>
      <c r="D511" s="65" t="s">
        <v>851</v>
      </c>
      <c r="E511" s="64"/>
      <c r="F511" s="66"/>
      <c r="G511" s="13"/>
    </row>
    <row r="512">
      <c r="A512" s="50">
        <v>46012.0</v>
      </c>
      <c r="B512" s="50">
        <v>46012.0</v>
      </c>
      <c r="C512" s="58" t="s">
        <v>852</v>
      </c>
      <c r="D512" s="58" t="s">
        <v>853</v>
      </c>
      <c r="E512" s="59"/>
      <c r="F512" s="53">
        <v>125000.0</v>
      </c>
      <c r="G512" s="8" t="s">
        <v>854</v>
      </c>
    </row>
    <row r="513">
      <c r="A513" s="60"/>
      <c r="B513" s="60"/>
      <c r="C513" s="61">
        <v>691.0</v>
      </c>
      <c r="D513" s="62" t="s">
        <v>855</v>
      </c>
      <c r="E513" s="63"/>
      <c r="F513" s="60"/>
      <c r="G513" s="13"/>
    </row>
    <row r="514">
      <c r="A514" s="64"/>
      <c r="B514" s="64"/>
      <c r="C514" s="64"/>
      <c r="D514" s="65" t="s">
        <v>856</v>
      </c>
      <c r="E514" s="66"/>
      <c r="F514" s="64"/>
      <c r="G514" s="13"/>
    </row>
    <row r="515">
      <c r="A515" s="50">
        <v>46012.0</v>
      </c>
      <c r="B515" s="50">
        <v>46012.0</v>
      </c>
      <c r="C515" s="58" t="s">
        <v>857</v>
      </c>
      <c r="D515" s="58" t="s">
        <v>858</v>
      </c>
      <c r="E515" s="53">
        <v>10000.0</v>
      </c>
      <c r="F515" s="59"/>
      <c r="G515" s="8" t="s">
        <v>859</v>
      </c>
    </row>
    <row r="516">
      <c r="A516" s="60"/>
      <c r="B516" s="60"/>
      <c r="C516" s="61">
        <v>9900.0</v>
      </c>
      <c r="D516" s="62" t="s">
        <v>860</v>
      </c>
      <c r="E516" s="60"/>
      <c r="F516" s="63"/>
      <c r="G516" s="13"/>
    </row>
    <row r="517">
      <c r="A517" s="60"/>
      <c r="B517" s="60"/>
      <c r="C517" s="60"/>
      <c r="D517" s="62" t="s">
        <v>861</v>
      </c>
      <c r="E517" s="60"/>
      <c r="F517" s="63"/>
      <c r="G517" s="13"/>
    </row>
    <row r="518">
      <c r="A518" s="60"/>
      <c r="B518" s="60"/>
      <c r="C518" s="60"/>
      <c r="D518" s="62" t="s">
        <v>862</v>
      </c>
      <c r="E518" s="60"/>
      <c r="F518" s="63"/>
      <c r="G518" s="13"/>
    </row>
    <row r="519">
      <c r="A519" s="64"/>
      <c r="B519" s="64"/>
      <c r="C519" s="64"/>
      <c r="D519" s="65" t="s">
        <v>863</v>
      </c>
      <c r="E519" s="64"/>
      <c r="F519" s="66"/>
      <c r="G519" s="13"/>
    </row>
    <row r="520">
      <c r="A520" s="50">
        <v>46012.0</v>
      </c>
      <c r="B520" s="50">
        <v>46012.0</v>
      </c>
      <c r="C520" s="58" t="s">
        <v>864</v>
      </c>
      <c r="D520" s="58" t="s">
        <v>865</v>
      </c>
      <c r="E520" s="53">
        <v>42581.0</v>
      </c>
      <c r="F520" s="59"/>
      <c r="G520" s="8" t="s">
        <v>866</v>
      </c>
    </row>
    <row r="521">
      <c r="A521" s="60"/>
      <c r="B521" s="60"/>
      <c r="C521" s="61">
        <v>8400.0</v>
      </c>
      <c r="D521" s="62" t="s">
        <v>867</v>
      </c>
      <c r="E521" s="60"/>
      <c r="F521" s="63"/>
      <c r="G521" s="13"/>
    </row>
    <row r="522">
      <c r="A522" s="60"/>
      <c r="B522" s="60"/>
      <c r="C522" s="60"/>
      <c r="D522" s="62" t="s">
        <v>868</v>
      </c>
      <c r="E522" s="60"/>
      <c r="F522" s="63"/>
      <c r="G522" s="13"/>
    </row>
    <row r="523">
      <c r="A523" s="60"/>
      <c r="B523" s="60"/>
      <c r="C523" s="60"/>
      <c r="D523" s="62" t="s">
        <v>869</v>
      </c>
      <c r="E523" s="60"/>
      <c r="F523" s="63"/>
      <c r="G523" s="13"/>
    </row>
    <row r="524">
      <c r="A524" s="64"/>
      <c r="B524" s="64"/>
      <c r="C524" s="64"/>
      <c r="D524" s="65" t="s">
        <v>870</v>
      </c>
      <c r="E524" s="64"/>
      <c r="F524" s="66"/>
      <c r="G524" s="13"/>
    </row>
    <row r="525">
      <c r="A525" s="50">
        <v>46012.0</v>
      </c>
      <c r="B525" s="50">
        <v>46012.0</v>
      </c>
      <c r="C525" s="58" t="s">
        <v>871</v>
      </c>
      <c r="D525" s="58" t="s">
        <v>872</v>
      </c>
      <c r="E525" s="53">
        <v>89373.0</v>
      </c>
      <c r="F525" s="59"/>
      <c r="G525" s="8" t="s">
        <v>873</v>
      </c>
    </row>
    <row r="526">
      <c r="A526" s="60"/>
      <c r="B526" s="60"/>
      <c r="C526" s="69">
        <v>200.0</v>
      </c>
      <c r="D526" s="62" t="s">
        <v>874</v>
      </c>
      <c r="E526" s="60"/>
      <c r="F526" s="63"/>
      <c r="G526" s="13"/>
    </row>
    <row r="527">
      <c r="A527" s="60"/>
      <c r="B527" s="60"/>
      <c r="C527" s="60"/>
      <c r="D527" s="62" t="s">
        <v>875</v>
      </c>
      <c r="E527" s="60"/>
      <c r="F527" s="63"/>
      <c r="G527" s="13"/>
    </row>
    <row r="528">
      <c r="A528" s="60"/>
      <c r="B528" s="60"/>
      <c r="C528" s="60"/>
      <c r="D528" s="62" t="s">
        <v>876</v>
      </c>
      <c r="E528" s="60"/>
      <c r="F528" s="63"/>
      <c r="G528" s="13"/>
    </row>
    <row r="529">
      <c r="A529" s="64"/>
      <c r="B529" s="64"/>
      <c r="C529" s="64"/>
      <c r="D529" s="65" t="s">
        <v>877</v>
      </c>
      <c r="E529" s="64"/>
      <c r="F529" s="66"/>
      <c r="G529" s="13"/>
    </row>
    <row r="530">
      <c r="A530" s="50">
        <v>46013.0</v>
      </c>
      <c r="B530" s="50">
        <v>46013.0</v>
      </c>
      <c r="C530" s="58" t="s">
        <v>878</v>
      </c>
      <c r="D530" s="58" t="s">
        <v>879</v>
      </c>
      <c r="E530" s="59"/>
      <c r="F530" s="68">
        <v>100.0</v>
      </c>
      <c r="G530" s="8" t="s">
        <v>880</v>
      </c>
    </row>
    <row r="531">
      <c r="A531" s="60"/>
      <c r="B531" s="60"/>
      <c r="C531" s="61">
        <v>953.0</v>
      </c>
      <c r="D531" s="62" t="s">
        <v>881</v>
      </c>
      <c r="E531" s="63"/>
      <c r="F531" s="60"/>
      <c r="G531" s="13"/>
    </row>
    <row r="532">
      <c r="A532" s="60"/>
      <c r="B532" s="60"/>
      <c r="C532" s="60"/>
      <c r="D532" s="62" t="s">
        <v>882</v>
      </c>
      <c r="E532" s="63"/>
      <c r="F532" s="60"/>
      <c r="G532" s="13"/>
    </row>
    <row r="533">
      <c r="A533" s="64"/>
      <c r="B533" s="64"/>
      <c r="C533" s="64"/>
      <c r="D533" s="65" t="s">
        <v>883</v>
      </c>
      <c r="E533" s="66"/>
      <c r="F533" s="64"/>
      <c r="G533" s="13"/>
    </row>
    <row r="534">
      <c r="A534" s="50">
        <v>46013.0</v>
      </c>
      <c r="B534" s="50">
        <v>46013.0</v>
      </c>
      <c r="C534" s="58" t="s">
        <v>884</v>
      </c>
      <c r="D534" s="58" t="s">
        <v>885</v>
      </c>
      <c r="E534" s="59"/>
      <c r="F534" s="53">
        <v>375000.0</v>
      </c>
      <c r="G534" s="8" t="s">
        <v>226</v>
      </c>
    </row>
    <row r="535">
      <c r="A535" s="60"/>
      <c r="B535" s="60"/>
      <c r="C535" s="61">
        <v>627.0</v>
      </c>
      <c r="D535" s="62" t="s">
        <v>886</v>
      </c>
      <c r="E535" s="63"/>
      <c r="F535" s="60"/>
      <c r="G535" s="13"/>
    </row>
    <row r="536">
      <c r="A536" s="64"/>
      <c r="B536" s="64"/>
      <c r="C536" s="64"/>
      <c r="D536" s="65" t="s">
        <v>887</v>
      </c>
      <c r="E536" s="66"/>
      <c r="F536" s="64"/>
      <c r="G536" s="13"/>
    </row>
    <row r="537">
      <c r="A537" s="50">
        <v>46013.0</v>
      </c>
      <c r="B537" s="50">
        <v>46013.0</v>
      </c>
      <c r="C537" s="58" t="s">
        <v>888</v>
      </c>
      <c r="D537" s="58" t="s">
        <v>889</v>
      </c>
      <c r="E537" s="53">
        <v>250000.0</v>
      </c>
      <c r="F537" s="59"/>
      <c r="G537" s="8" t="s">
        <v>890</v>
      </c>
    </row>
    <row r="538">
      <c r="A538" s="60"/>
      <c r="B538" s="60"/>
      <c r="C538" s="61">
        <v>3500.0</v>
      </c>
      <c r="D538" s="62" t="s">
        <v>891</v>
      </c>
      <c r="E538" s="60"/>
      <c r="F538" s="63"/>
      <c r="G538" s="13"/>
    </row>
    <row r="539">
      <c r="A539" s="60"/>
      <c r="B539" s="60"/>
      <c r="C539" s="60"/>
      <c r="D539" s="62" t="s">
        <v>892</v>
      </c>
      <c r="E539" s="60"/>
      <c r="F539" s="63"/>
      <c r="G539" s="13"/>
    </row>
    <row r="540">
      <c r="A540" s="60"/>
      <c r="B540" s="60"/>
      <c r="C540" s="60"/>
      <c r="D540" s="62" t="s">
        <v>893</v>
      </c>
      <c r="E540" s="60"/>
      <c r="F540" s="63"/>
      <c r="G540" s="13"/>
    </row>
    <row r="541">
      <c r="A541" s="64"/>
      <c r="B541" s="64"/>
      <c r="C541" s="64"/>
      <c r="D541" s="65" t="s">
        <v>894</v>
      </c>
      <c r="E541" s="64"/>
      <c r="F541" s="66"/>
      <c r="G541" s="13"/>
    </row>
    <row r="542">
      <c r="A542" s="50">
        <v>46013.0</v>
      </c>
      <c r="B542" s="50">
        <v>46013.0</v>
      </c>
      <c r="C542" s="58" t="s">
        <v>895</v>
      </c>
      <c r="D542" s="58" t="s">
        <v>896</v>
      </c>
      <c r="E542" s="53">
        <v>24945.0</v>
      </c>
      <c r="F542" s="59"/>
      <c r="G542" s="8" t="s">
        <v>897</v>
      </c>
    </row>
    <row r="543">
      <c r="A543" s="60"/>
      <c r="B543" s="60"/>
      <c r="C543" s="61">
        <v>5200.0</v>
      </c>
      <c r="D543" s="62" t="s">
        <v>898</v>
      </c>
      <c r="E543" s="60"/>
      <c r="F543" s="63"/>
      <c r="G543" s="13"/>
    </row>
    <row r="544">
      <c r="A544" s="60"/>
      <c r="B544" s="60"/>
      <c r="C544" s="60"/>
      <c r="D544" s="62" t="s">
        <v>899</v>
      </c>
      <c r="E544" s="60"/>
      <c r="F544" s="63"/>
      <c r="G544" s="13"/>
    </row>
    <row r="545">
      <c r="A545" s="60"/>
      <c r="B545" s="60"/>
      <c r="C545" s="60"/>
      <c r="D545" s="62" t="s">
        <v>900</v>
      </c>
      <c r="E545" s="60"/>
      <c r="F545" s="63"/>
      <c r="G545" s="13"/>
    </row>
    <row r="546">
      <c r="A546" s="64"/>
      <c r="B546" s="64"/>
      <c r="C546" s="64"/>
      <c r="D546" s="65" t="s">
        <v>901</v>
      </c>
      <c r="E546" s="64"/>
      <c r="F546" s="66"/>
      <c r="G546" s="13"/>
    </row>
    <row r="547">
      <c r="A547" s="50">
        <v>46013.0</v>
      </c>
      <c r="B547" s="50">
        <v>46013.0</v>
      </c>
      <c r="C547" s="58" t="s">
        <v>902</v>
      </c>
      <c r="D547" s="58" t="s">
        <v>903</v>
      </c>
      <c r="E547" s="59"/>
      <c r="F547" s="53">
        <v>180000.0</v>
      </c>
      <c r="G547" s="8" t="s">
        <v>904</v>
      </c>
    </row>
    <row r="548">
      <c r="A548" s="60"/>
      <c r="B548" s="60"/>
      <c r="C548" s="61">
        <v>903.0</v>
      </c>
      <c r="D548" s="62" t="s">
        <v>905</v>
      </c>
      <c r="E548" s="63"/>
      <c r="F548" s="60"/>
      <c r="G548" s="13"/>
    </row>
    <row r="549">
      <c r="A549" s="64"/>
      <c r="B549" s="64"/>
      <c r="C549" s="64"/>
      <c r="D549" s="65" t="s">
        <v>906</v>
      </c>
      <c r="E549" s="66"/>
      <c r="F549" s="64"/>
      <c r="G549" s="13"/>
    </row>
    <row r="550">
      <c r="A550" s="50">
        <v>46014.0</v>
      </c>
      <c r="B550" s="50">
        <v>46014.0</v>
      </c>
      <c r="C550" s="58" t="s">
        <v>907</v>
      </c>
      <c r="D550" s="58" t="s">
        <v>908</v>
      </c>
      <c r="E550" s="59"/>
      <c r="F550" s="53">
        <v>50000.0</v>
      </c>
      <c r="G550" s="8" t="s">
        <v>909</v>
      </c>
    </row>
    <row r="551">
      <c r="A551" s="60"/>
      <c r="B551" s="60"/>
      <c r="C551" s="69">
        <v>600.0</v>
      </c>
      <c r="D551" s="62" t="s">
        <v>910</v>
      </c>
      <c r="E551" s="63"/>
      <c r="F551" s="60"/>
      <c r="G551" s="13"/>
    </row>
    <row r="552">
      <c r="A552" s="60"/>
      <c r="B552" s="60"/>
      <c r="C552" s="60"/>
      <c r="D552" s="62" t="s">
        <v>911</v>
      </c>
      <c r="E552" s="63"/>
      <c r="F552" s="60"/>
      <c r="G552" s="13"/>
    </row>
    <row r="553">
      <c r="A553" s="64"/>
      <c r="B553" s="64"/>
      <c r="C553" s="64"/>
      <c r="D553" s="65" t="s">
        <v>912</v>
      </c>
      <c r="E553" s="66"/>
      <c r="F553" s="64"/>
      <c r="G553" s="13"/>
    </row>
    <row r="554">
      <c r="A554" s="50">
        <v>46016.0</v>
      </c>
      <c r="B554" s="50">
        <v>46016.0</v>
      </c>
      <c r="C554" s="58" t="s">
        <v>913</v>
      </c>
      <c r="D554" s="58" t="s">
        <v>914</v>
      </c>
      <c r="E554" s="53">
        <v>7386.0</v>
      </c>
      <c r="F554" s="59"/>
      <c r="G554" s="8" t="s">
        <v>915</v>
      </c>
    </row>
    <row r="555">
      <c r="A555" s="60"/>
      <c r="B555" s="60"/>
      <c r="C555" s="61">
        <v>4700.0</v>
      </c>
      <c r="D555" s="62" t="s">
        <v>916</v>
      </c>
      <c r="E555" s="60"/>
      <c r="F555" s="63"/>
      <c r="G555" s="13"/>
    </row>
    <row r="556">
      <c r="A556" s="60"/>
      <c r="B556" s="60"/>
      <c r="C556" s="60"/>
      <c r="D556" s="62" t="s">
        <v>917</v>
      </c>
      <c r="E556" s="60"/>
      <c r="F556" s="63"/>
      <c r="G556" s="13"/>
    </row>
    <row r="557">
      <c r="A557" s="60"/>
      <c r="B557" s="60"/>
      <c r="C557" s="60"/>
      <c r="D557" s="62" t="s">
        <v>918</v>
      </c>
      <c r="E557" s="60"/>
      <c r="F557" s="63"/>
      <c r="G557" s="13"/>
    </row>
    <row r="558">
      <c r="A558" s="60"/>
      <c r="B558" s="60"/>
      <c r="C558" s="60"/>
      <c r="D558" s="62" t="s">
        <v>919</v>
      </c>
      <c r="E558" s="60"/>
      <c r="F558" s="63"/>
      <c r="G558" s="13"/>
    </row>
    <row r="559">
      <c r="A559" s="64"/>
      <c r="B559" s="64"/>
      <c r="C559" s="64"/>
      <c r="D559" s="65" t="s">
        <v>920</v>
      </c>
      <c r="E559" s="64"/>
      <c r="F559" s="66"/>
      <c r="G559" s="13"/>
    </row>
    <row r="560">
      <c r="A560" s="50">
        <v>46016.0</v>
      </c>
      <c r="B560" s="50">
        <v>46016.0</v>
      </c>
      <c r="C560" s="58" t="s">
        <v>921</v>
      </c>
      <c r="D560" s="58" t="s">
        <v>922</v>
      </c>
      <c r="E560" s="53">
        <v>60000.0</v>
      </c>
      <c r="F560" s="59"/>
      <c r="G560" s="8" t="s">
        <v>21</v>
      </c>
    </row>
    <row r="561">
      <c r="A561" s="60"/>
      <c r="B561" s="60"/>
      <c r="C561" s="61">
        <v>9000.0</v>
      </c>
      <c r="D561" s="62" t="s">
        <v>923</v>
      </c>
      <c r="E561" s="60"/>
      <c r="F561" s="63"/>
      <c r="G561" s="13"/>
    </row>
    <row r="562">
      <c r="A562" s="60"/>
      <c r="B562" s="60"/>
      <c r="C562" s="60"/>
      <c r="D562" s="62" t="s">
        <v>924</v>
      </c>
      <c r="E562" s="60"/>
      <c r="F562" s="63"/>
      <c r="G562" s="13"/>
    </row>
    <row r="563">
      <c r="A563" s="60"/>
      <c r="B563" s="60"/>
      <c r="C563" s="60"/>
      <c r="D563" s="62" t="s">
        <v>925</v>
      </c>
      <c r="E563" s="60"/>
      <c r="F563" s="63"/>
      <c r="G563" s="13"/>
    </row>
    <row r="564">
      <c r="A564" s="64"/>
      <c r="B564" s="64"/>
      <c r="C564" s="64"/>
      <c r="D564" s="65" t="s">
        <v>926</v>
      </c>
      <c r="E564" s="64"/>
      <c r="F564" s="66"/>
      <c r="G564" s="13"/>
    </row>
    <row r="565">
      <c r="A565" s="50">
        <v>46017.0</v>
      </c>
      <c r="B565" s="50">
        <v>46017.0</v>
      </c>
      <c r="C565" s="58" t="s">
        <v>927</v>
      </c>
      <c r="D565" s="58" t="s">
        <v>928</v>
      </c>
      <c r="E565" s="59"/>
      <c r="F565" s="53">
        <v>100000.0</v>
      </c>
      <c r="G565" s="8" t="s">
        <v>929</v>
      </c>
    </row>
    <row r="566">
      <c r="A566" s="60"/>
      <c r="B566" s="60"/>
      <c r="C566" s="61">
        <v>2600.0</v>
      </c>
      <c r="D566" s="62" t="s">
        <v>930</v>
      </c>
      <c r="E566" s="63"/>
      <c r="F566" s="60"/>
      <c r="G566" s="13"/>
    </row>
    <row r="567">
      <c r="A567" s="60"/>
      <c r="B567" s="60"/>
      <c r="C567" s="60"/>
      <c r="D567" s="62" t="s">
        <v>931</v>
      </c>
      <c r="E567" s="63"/>
      <c r="F567" s="60"/>
      <c r="G567" s="13"/>
    </row>
    <row r="568">
      <c r="A568" s="64"/>
      <c r="B568" s="64"/>
      <c r="C568" s="64"/>
      <c r="D568" s="73" t="s">
        <v>932</v>
      </c>
      <c r="E568" s="66"/>
      <c r="F568" s="64"/>
      <c r="G568" s="13"/>
    </row>
    <row r="569">
      <c r="A569" s="50">
        <v>46017.0</v>
      </c>
      <c r="B569" s="50">
        <v>46017.0</v>
      </c>
      <c r="C569" s="58" t="s">
        <v>933</v>
      </c>
      <c r="D569" s="58" t="s">
        <v>934</v>
      </c>
      <c r="E569" s="59"/>
      <c r="F569" s="53">
        <v>92257.0</v>
      </c>
      <c r="G569" s="8" t="s">
        <v>935</v>
      </c>
    </row>
    <row r="570">
      <c r="A570" s="60"/>
      <c r="B570" s="60"/>
      <c r="C570" s="61">
        <v>9200.0</v>
      </c>
      <c r="D570" s="62" t="s">
        <v>936</v>
      </c>
      <c r="E570" s="63"/>
      <c r="F570" s="60"/>
      <c r="G570" s="13"/>
    </row>
    <row r="571">
      <c r="A571" s="60"/>
      <c r="B571" s="60"/>
      <c r="C571" s="60"/>
      <c r="D571" s="62" t="s">
        <v>937</v>
      </c>
      <c r="E571" s="63"/>
      <c r="F571" s="60"/>
      <c r="G571" s="13"/>
    </row>
    <row r="572">
      <c r="A572" s="64"/>
      <c r="B572" s="64"/>
      <c r="C572" s="64"/>
      <c r="D572" s="65" t="s">
        <v>938</v>
      </c>
      <c r="E572" s="66"/>
      <c r="F572" s="64"/>
      <c r="G572" s="13"/>
    </row>
    <row r="573">
      <c r="A573" s="50">
        <v>46019.0</v>
      </c>
      <c r="B573" s="50">
        <v>46019.0</v>
      </c>
      <c r="C573" s="58" t="s">
        <v>939</v>
      </c>
      <c r="D573" s="58" t="s">
        <v>940</v>
      </c>
      <c r="E573" s="53">
        <v>10353.0</v>
      </c>
      <c r="F573" s="59"/>
      <c r="G573" s="8" t="s">
        <v>941</v>
      </c>
    </row>
    <row r="574">
      <c r="A574" s="60"/>
      <c r="B574" s="60"/>
      <c r="C574" s="61">
        <v>1000.0</v>
      </c>
      <c r="D574" s="62" t="s">
        <v>942</v>
      </c>
      <c r="E574" s="60"/>
      <c r="F574" s="63"/>
      <c r="G574" s="13"/>
    </row>
    <row r="575">
      <c r="A575" s="60"/>
      <c r="B575" s="60"/>
      <c r="C575" s="60"/>
      <c r="D575" s="62" t="s">
        <v>943</v>
      </c>
      <c r="E575" s="60"/>
      <c r="F575" s="63"/>
      <c r="G575" s="13"/>
    </row>
    <row r="576">
      <c r="A576" s="60"/>
      <c r="B576" s="60"/>
      <c r="C576" s="60"/>
      <c r="D576" s="62" t="s">
        <v>944</v>
      </c>
      <c r="E576" s="60"/>
      <c r="F576" s="63"/>
      <c r="G576" s="13"/>
    </row>
    <row r="577">
      <c r="A577" s="64"/>
      <c r="B577" s="64"/>
      <c r="C577" s="64"/>
      <c r="D577" s="65" t="s">
        <v>945</v>
      </c>
      <c r="E577" s="64"/>
      <c r="F577" s="66"/>
      <c r="G577" s="13"/>
    </row>
    <row r="578">
      <c r="A578" s="50">
        <v>46020.0</v>
      </c>
      <c r="B578" s="50">
        <v>46020.0</v>
      </c>
      <c r="C578" s="58" t="s">
        <v>946</v>
      </c>
      <c r="D578" s="58" t="s">
        <v>947</v>
      </c>
      <c r="E578" s="68">
        <v>590.0</v>
      </c>
      <c r="F578" s="59"/>
      <c r="G578" s="8" t="s">
        <v>948</v>
      </c>
    </row>
    <row r="579">
      <c r="A579" s="60"/>
      <c r="B579" s="60"/>
      <c r="C579" s="61">
        <v>9500.0</v>
      </c>
      <c r="D579" s="62" t="s">
        <v>949</v>
      </c>
      <c r="E579" s="60"/>
      <c r="F579" s="63"/>
      <c r="G579" s="13"/>
    </row>
    <row r="580">
      <c r="A580" s="60"/>
      <c r="B580" s="60"/>
      <c r="C580" s="60"/>
      <c r="D580" s="62" t="s">
        <v>950</v>
      </c>
      <c r="E580" s="60"/>
      <c r="F580" s="63"/>
      <c r="G580" s="13"/>
    </row>
    <row r="581">
      <c r="A581" s="60"/>
      <c r="B581" s="60"/>
      <c r="C581" s="60"/>
      <c r="D581" s="62" t="s">
        <v>951</v>
      </c>
      <c r="E581" s="60"/>
      <c r="F581" s="63"/>
      <c r="G581" s="13"/>
    </row>
    <row r="582">
      <c r="A582" s="60"/>
      <c r="B582" s="60"/>
      <c r="C582" s="60"/>
      <c r="D582" s="62" t="s">
        <v>952</v>
      </c>
      <c r="E582" s="60"/>
      <c r="F582" s="63"/>
      <c r="G582" s="13"/>
    </row>
    <row r="583">
      <c r="A583" s="64"/>
      <c r="B583" s="64"/>
      <c r="C583" s="64"/>
      <c r="D583" s="65" t="s">
        <v>953</v>
      </c>
      <c r="E583" s="64"/>
      <c r="F583" s="66"/>
      <c r="G583" s="13"/>
    </row>
    <row r="584">
      <c r="A584" s="50">
        <v>46020.0</v>
      </c>
      <c r="B584" s="50">
        <v>46020.0</v>
      </c>
      <c r="C584" s="58" t="s">
        <v>954</v>
      </c>
      <c r="D584" s="58" t="s">
        <v>955</v>
      </c>
      <c r="E584" s="53">
        <v>13850.0</v>
      </c>
      <c r="F584" s="59"/>
      <c r="G584" s="8" t="s">
        <v>956</v>
      </c>
    </row>
    <row r="585">
      <c r="A585" s="60"/>
      <c r="B585" s="60"/>
      <c r="C585" s="61">
        <v>7800.0</v>
      </c>
      <c r="D585" s="62" t="s">
        <v>957</v>
      </c>
      <c r="E585" s="60"/>
      <c r="F585" s="63"/>
      <c r="G585" s="13"/>
    </row>
    <row r="586">
      <c r="A586" s="60"/>
      <c r="B586" s="60"/>
      <c r="C586" s="60"/>
      <c r="D586" s="62" t="s">
        <v>958</v>
      </c>
      <c r="E586" s="60"/>
      <c r="F586" s="63"/>
      <c r="G586" s="13"/>
    </row>
    <row r="587">
      <c r="A587" s="60"/>
      <c r="B587" s="60"/>
      <c r="C587" s="60"/>
      <c r="D587" s="62" t="s">
        <v>959</v>
      </c>
      <c r="E587" s="60"/>
      <c r="F587" s="63"/>
      <c r="G587" s="13"/>
    </row>
    <row r="588">
      <c r="A588" s="60"/>
      <c r="B588" s="60"/>
      <c r="C588" s="60"/>
      <c r="D588" s="62" t="s">
        <v>960</v>
      </c>
      <c r="E588" s="60"/>
      <c r="F588" s="63"/>
      <c r="G588" s="13"/>
    </row>
    <row r="589">
      <c r="A589" s="64"/>
      <c r="B589" s="64"/>
      <c r="C589" s="64"/>
      <c r="D589" s="65" t="s">
        <v>961</v>
      </c>
      <c r="E589" s="64"/>
      <c r="F589" s="66"/>
      <c r="G589" s="13"/>
    </row>
    <row r="590">
      <c r="A590" s="50">
        <v>46020.0</v>
      </c>
      <c r="B590" s="50">
        <v>46020.0</v>
      </c>
      <c r="C590" s="58" t="s">
        <v>962</v>
      </c>
      <c r="D590" s="58" t="s">
        <v>963</v>
      </c>
      <c r="E590" s="53">
        <v>6000.0</v>
      </c>
      <c r="F590" s="59"/>
      <c r="G590" s="8" t="s">
        <v>964</v>
      </c>
    </row>
    <row r="591">
      <c r="A591" s="60"/>
      <c r="B591" s="60"/>
      <c r="C591" s="61">
        <v>4400.0</v>
      </c>
      <c r="D591" s="62" t="s">
        <v>965</v>
      </c>
      <c r="E591" s="60"/>
      <c r="F591" s="63"/>
      <c r="G591" s="13"/>
    </row>
    <row r="592">
      <c r="A592" s="60"/>
      <c r="B592" s="60"/>
      <c r="C592" s="60"/>
      <c r="D592" s="62" t="s">
        <v>966</v>
      </c>
      <c r="E592" s="60"/>
      <c r="F592" s="63"/>
      <c r="G592" s="13"/>
    </row>
    <row r="593">
      <c r="A593" s="60"/>
      <c r="B593" s="60"/>
      <c r="C593" s="60"/>
      <c r="D593" s="62" t="s">
        <v>967</v>
      </c>
      <c r="E593" s="60"/>
      <c r="F593" s="63"/>
      <c r="G593" s="13"/>
    </row>
    <row r="594">
      <c r="A594" s="60"/>
      <c r="B594" s="60"/>
      <c r="C594" s="60"/>
      <c r="D594" s="62" t="s">
        <v>968</v>
      </c>
      <c r="E594" s="60"/>
      <c r="F594" s="63"/>
      <c r="G594" s="13"/>
    </row>
    <row r="595">
      <c r="A595" s="64"/>
      <c r="B595" s="64"/>
      <c r="C595" s="64"/>
      <c r="D595" s="65" t="s">
        <v>969</v>
      </c>
      <c r="E595" s="64"/>
      <c r="F595" s="66"/>
      <c r="G595" s="13"/>
    </row>
    <row r="596">
      <c r="A596" s="50">
        <v>46020.0</v>
      </c>
      <c r="B596" s="50">
        <v>46020.0</v>
      </c>
      <c r="C596" s="58" t="s">
        <v>970</v>
      </c>
      <c r="D596" s="58" t="s">
        <v>971</v>
      </c>
      <c r="E596" s="53">
        <v>81960.0</v>
      </c>
      <c r="F596" s="59"/>
      <c r="G596" s="8" t="s">
        <v>972</v>
      </c>
    </row>
    <row r="597">
      <c r="A597" s="60"/>
      <c r="B597" s="60"/>
      <c r="C597" s="61">
        <v>3800.0</v>
      </c>
      <c r="D597" s="62" t="s">
        <v>973</v>
      </c>
      <c r="E597" s="60"/>
      <c r="F597" s="63"/>
      <c r="G597" s="13"/>
    </row>
    <row r="598">
      <c r="A598" s="60"/>
      <c r="B598" s="60"/>
      <c r="C598" s="60"/>
      <c r="D598" s="62" t="s">
        <v>974</v>
      </c>
      <c r="E598" s="60"/>
      <c r="F598" s="63"/>
      <c r="G598" s="13"/>
    </row>
    <row r="599">
      <c r="A599" s="60"/>
      <c r="B599" s="60"/>
      <c r="C599" s="60"/>
      <c r="D599" s="62" t="s">
        <v>975</v>
      </c>
      <c r="E599" s="60"/>
      <c r="F599" s="63"/>
      <c r="G599" s="13"/>
    </row>
    <row r="600">
      <c r="A600" s="64"/>
      <c r="B600" s="64"/>
      <c r="C600" s="64"/>
      <c r="D600" s="65" t="s">
        <v>976</v>
      </c>
      <c r="E600" s="64"/>
      <c r="F600" s="66"/>
      <c r="G600" s="13"/>
    </row>
    <row r="601">
      <c r="A601" s="50">
        <v>46020.0</v>
      </c>
      <c r="B601" s="50">
        <v>46020.0</v>
      </c>
      <c r="C601" s="58" t="s">
        <v>977</v>
      </c>
      <c r="D601" s="58" t="s">
        <v>978</v>
      </c>
      <c r="E601" s="53">
        <v>24675.0</v>
      </c>
      <c r="F601" s="59"/>
      <c r="G601" s="8" t="s">
        <v>979</v>
      </c>
    </row>
    <row r="602">
      <c r="A602" s="60"/>
      <c r="B602" s="60"/>
      <c r="C602" s="69">
        <v>700.0</v>
      </c>
      <c r="D602" s="62" t="s">
        <v>980</v>
      </c>
      <c r="E602" s="60"/>
      <c r="F602" s="63"/>
      <c r="G602" s="13"/>
    </row>
    <row r="603">
      <c r="A603" s="60"/>
      <c r="B603" s="60"/>
      <c r="C603" s="60"/>
      <c r="D603" s="62" t="s">
        <v>981</v>
      </c>
      <c r="E603" s="60"/>
      <c r="F603" s="63"/>
      <c r="G603" s="13"/>
    </row>
    <row r="604">
      <c r="A604" s="60"/>
      <c r="B604" s="60"/>
      <c r="C604" s="60"/>
      <c r="D604" s="62" t="s">
        <v>982</v>
      </c>
      <c r="E604" s="60"/>
      <c r="F604" s="63"/>
      <c r="G604" s="13"/>
    </row>
    <row r="605">
      <c r="A605" s="60"/>
      <c r="B605" s="60"/>
      <c r="C605" s="60"/>
      <c r="D605" s="62" t="s">
        <v>983</v>
      </c>
      <c r="E605" s="60"/>
      <c r="F605" s="63"/>
      <c r="G605" s="13"/>
    </row>
    <row r="606">
      <c r="A606" s="64"/>
      <c r="B606" s="64"/>
      <c r="C606" s="64"/>
      <c r="D606" s="65" t="s">
        <v>984</v>
      </c>
      <c r="E606" s="64"/>
      <c r="F606" s="66"/>
      <c r="G606" s="13"/>
    </row>
    <row r="607">
      <c r="A607" s="50">
        <v>46021.0</v>
      </c>
      <c r="B607" s="50">
        <v>46021.0</v>
      </c>
      <c r="C607" s="58" t="s">
        <v>985</v>
      </c>
      <c r="D607" s="58" t="s">
        <v>986</v>
      </c>
      <c r="E607" s="53">
        <v>2438.0</v>
      </c>
      <c r="F607" s="59"/>
      <c r="G607" s="8" t="s">
        <v>987</v>
      </c>
    </row>
    <row r="608">
      <c r="A608" s="60"/>
      <c r="B608" s="60"/>
      <c r="C608" s="61">
        <v>3500.0</v>
      </c>
      <c r="D608" s="62" t="s">
        <v>988</v>
      </c>
      <c r="E608" s="60"/>
      <c r="F608" s="63"/>
      <c r="G608" s="13"/>
    </row>
    <row r="609">
      <c r="A609" s="60"/>
      <c r="B609" s="60"/>
      <c r="C609" s="60"/>
      <c r="D609" s="62" t="s">
        <v>989</v>
      </c>
      <c r="E609" s="60"/>
      <c r="F609" s="63"/>
      <c r="G609" s="13"/>
    </row>
    <row r="610">
      <c r="A610" s="60"/>
      <c r="B610" s="60"/>
      <c r="C610" s="60"/>
      <c r="D610" s="62" t="s">
        <v>990</v>
      </c>
      <c r="E610" s="60"/>
      <c r="F610" s="63"/>
      <c r="G610" s="13"/>
    </row>
    <row r="611">
      <c r="A611" s="60"/>
      <c r="B611" s="60"/>
      <c r="C611" s="60"/>
      <c r="D611" s="62" t="s">
        <v>991</v>
      </c>
      <c r="E611" s="60"/>
      <c r="F611" s="63"/>
      <c r="G611" s="13"/>
    </row>
    <row r="612">
      <c r="A612" s="64"/>
      <c r="B612" s="64"/>
      <c r="C612" s="64"/>
      <c r="D612" s="65" t="s">
        <v>992</v>
      </c>
      <c r="E612" s="64"/>
      <c r="F612" s="66"/>
      <c r="G612" s="13"/>
    </row>
    <row r="613">
      <c r="A613" s="50">
        <v>46022.0</v>
      </c>
      <c r="B613" s="50">
        <v>46022.0</v>
      </c>
      <c r="C613" s="58" t="s">
        <v>993</v>
      </c>
      <c r="D613" s="58" t="s">
        <v>994</v>
      </c>
      <c r="E613" s="53">
        <v>5000.0</v>
      </c>
      <c r="F613" s="59"/>
      <c r="G613" s="8" t="s">
        <v>995</v>
      </c>
    </row>
    <row r="614">
      <c r="A614" s="60"/>
      <c r="B614" s="60"/>
      <c r="C614" s="69">
        <v>400.0</v>
      </c>
      <c r="D614" s="62" t="s">
        <v>996</v>
      </c>
      <c r="E614" s="60"/>
      <c r="F614" s="63"/>
      <c r="G614" s="13"/>
    </row>
    <row r="615">
      <c r="A615" s="60"/>
      <c r="B615" s="60"/>
      <c r="C615" s="60"/>
      <c r="D615" s="62" t="s">
        <v>997</v>
      </c>
      <c r="E615" s="60"/>
      <c r="F615" s="63"/>
      <c r="G615" s="13"/>
    </row>
    <row r="616">
      <c r="A616" s="60"/>
      <c r="B616" s="60"/>
      <c r="C616" s="60"/>
      <c r="D616" s="62" t="s">
        <v>998</v>
      </c>
      <c r="E616" s="60"/>
      <c r="F616" s="63"/>
      <c r="G616" s="13"/>
    </row>
    <row r="617">
      <c r="A617" s="64"/>
      <c r="B617" s="64"/>
      <c r="C617" s="64"/>
      <c r="D617" s="65" t="s">
        <v>999</v>
      </c>
      <c r="E617" s="64"/>
      <c r="F617" s="66"/>
      <c r="G617" s="13"/>
    </row>
    <row r="618">
      <c r="A618" s="50">
        <v>46022.0</v>
      </c>
      <c r="B618" s="50">
        <v>46022.0</v>
      </c>
      <c r="C618" s="58" t="s">
        <v>1000</v>
      </c>
      <c r="D618" s="58" t="s">
        <v>1001</v>
      </c>
      <c r="E618" s="53">
        <v>50000.0</v>
      </c>
      <c r="F618" s="59"/>
      <c r="G618" s="8" t="s">
        <v>21</v>
      </c>
    </row>
    <row r="619">
      <c r="A619" s="60"/>
      <c r="B619" s="60"/>
      <c r="C619" s="61">
        <v>8000.0</v>
      </c>
      <c r="D619" s="62" t="s">
        <v>1002</v>
      </c>
      <c r="E619" s="60"/>
      <c r="F619" s="63"/>
      <c r="G619" s="13"/>
    </row>
    <row r="620">
      <c r="A620" s="60"/>
      <c r="B620" s="60"/>
      <c r="C620" s="60"/>
      <c r="D620" s="62" t="s">
        <v>1003</v>
      </c>
      <c r="E620" s="60"/>
      <c r="F620" s="63"/>
      <c r="G620" s="13"/>
    </row>
    <row r="621">
      <c r="A621" s="60"/>
      <c r="B621" s="60"/>
      <c r="C621" s="60"/>
      <c r="D621" s="62" t="s">
        <v>1004</v>
      </c>
      <c r="E621" s="60"/>
      <c r="F621" s="63"/>
      <c r="G621" s="13"/>
    </row>
    <row r="622">
      <c r="A622" s="64"/>
      <c r="B622" s="64"/>
      <c r="C622" s="64"/>
      <c r="D622" s="65" t="s">
        <v>1005</v>
      </c>
      <c r="E622" s="64"/>
      <c r="F622" s="66"/>
      <c r="G622" s="13"/>
    </row>
    <row r="623">
      <c r="A623" s="50">
        <v>46022.0</v>
      </c>
      <c r="B623" s="50">
        <v>46022.0</v>
      </c>
      <c r="C623" s="58" t="s">
        <v>1006</v>
      </c>
      <c r="D623" s="58" t="s">
        <v>1007</v>
      </c>
      <c r="E623" s="53">
        <v>22350.0</v>
      </c>
      <c r="F623" s="59"/>
      <c r="G623" s="8" t="s">
        <v>1008</v>
      </c>
    </row>
    <row r="624">
      <c r="A624" s="60"/>
      <c r="B624" s="60"/>
      <c r="C624" s="61">
        <v>2900.0</v>
      </c>
      <c r="D624" s="62" t="s">
        <v>1009</v>
      </c>
      <c r="E624" s="60"/>
      <c r="F624" s="63"/>
      <c r="G624" s="13"/>
    </row>
    <row r="625">
      <c r="A625" s="60"/>
      <c r="B625" s="60"/>
      <c r="C625" s="60"/>
      <c r="D625" s="62" t="s">
        <v>1010</v>
      </c>
      <c r="E625" s="60"/>
      <c r="F625" s="63"/>
      <c r="G625" s="13"/>
    </row>
    <row r="626">
      <c r="A626" s="60"/>
      <c r="B626" s="60"/>
      <c r="C626" s="60"/>
      <c r="D626" s="62" t="s">
        <v>1011</v>
      </c>
      <c r="E626" s="60"/>
      <c r="F626" s="63"/>
      <c r="G626" s="13"/>
    </row>
    <row r="627">
      <c r="A627" s="60"/>
      <c r="B627" s="60"/>
      <c r="C627" s="60"/>
      <c r="D627" s="62" t="s">
        <v>1012</v>
      </c>
      <c r="E627" s="60"/>
      <c r="F627" s="63"/>
      <c r="G627" s="13"/>
    </row>
    <row r="628">
      <c r="A628" s="64"/>
      <c r="B628" s="64"/>
      <c r="C628" s="64"/>
      <c r="D628" s="65" t="s">
        <v>1013</v>
      </c>
      <c r="E628" s="64"/>
      <c r="F628" s="66"/>
      <c r="G628" s="13"/>
    </row>
    <row r="629">
      <c r="A629" s="50">
        <v>46024.0</v>
      </c>
      <c r="B629" s="50">
        <v>46024.0</v>
      </c>
      <c r="C629" s="58" t="s">
        <v>1014</v>
      </c>
      <c r="D629" s="58" t="s">
        <v>1015</v>
      </c>
      <c r="E629" s="53">
        <v>25000.0</v>
      </c>
      <c r="F629" s="59"/>
      <c r="G629" s="8" t="s">
        <v>358</v>
      </c>
    </row>
    <row r="630">
      <c r="A630" s="60"/>
      <c r="B630" s="60"/>
      <c r="C630" s="69">
        <v>600.0</v>
      </c>
      <c r="D630" s="62" t="s">
        <v>1016</v>
      </c>
      <c r="E630" s="60"/>
      <c r="F630" s="63"/>
      <c r="G630" s="13"/>
    </row>
    <row r="631">
      <c r="A631" s="60"/>
      <c r="B631" s="60"/>
      <c r="C631" s="60"/>
      <c r="D631" s="62" t="s">
        <v>1017</v>
      </c>
      <c r="E631" s="60"/>
      <c r="F631" s="63"/>
      <c r="G631" s="13"/>
    </row>
    <row r="632">
      <c r="A632" s="60"/>
      <c r="B632" s="60"/>
      <c r="C632" s="60"/>
      <c r="D632" s="62" t="s">
        <v>1018</v>
      </c>
      <c r="E632" s="60"/>
      <c r="F632" s="63"/>
      <c r="G632" s="13"/>
    </row>
    <row r="633">
      <c r="A633" s="64"/>
      <c r="B633" s="64"/>
      <c r="C633" s="64"/>
      <c r="D633" s="65" t="s">
        <v>1019</v>
      </c>
      <c r="E633" s="64"/>
      <c r="F633" s="66"/>
      <c r="G633" s="13"/>
    </row>
    <row r="634">
      <c r="A634" s="50">
        <v>46025.0</v>
      </c>
      <c r="B634" s="50">
        <v>46025.0</v>
      </c>
      <c r="C634" s="58" t="s">
        <v>1020</v>
      </c>
      <c r="D634" s="58" t="s">
        <v>1021</v>
      </c>
      <c r="E634" s="53">
        <v>1000.0</v>
      </c>
      <c r="F634" s="59"/>
      <c r="G634" s="8" t="s">
        <v>1022</v>
      </c>
    </row>
    <row r="635">
      <c r="A635" s="64"/>
      <c r="B635" s="64"/>
      <c r="C635" s="84">
        <v>302483.0</v>
      </c>
      <c r="D635" s="65" t="s">
        <v>1023</v>
      </c>
      <c r="E635" s="64"/>
      <c r="F635" s="66"/>
      <c r="G635" s="13"/>
    </row>
    <row r="636">
      <c r="A636" s="50">
        <v>46027.0</v>
      </c>
      <c r="B636" s="50">
        <v>46027.0</v>
      </c>
      <c r="C636" s="58" t="s">
        <v>1024</v>
      </c>
      <c r="D636" s="58" t="s">
        <v>1025</v>
      </c>
      <c r="E636" s="53">
        <v>100000.0</v>
      </c>
      <c r="F636" s="59"/>
      <c r="G636" s="8" t="s">
        <v>391</v>
      </c>
    </row>
    <row r="637">
      <c r="A637" s="60"/>
      <c r="B637" s="60"/>
      <c r="C637" s="69">
        <v>500.0</v>
      </c>
      <c r="D637" s="62" t="s">
        <v>1026</v>
      </c>
      <c r="E637" s="60"/>
      <c r="F637" s="63"/>
      <c r="G637" s="13"/>
    </row>
    <row r="638">
      <c r="A638" s="60"/>
      <c r="B638" s="60"/>
      <c r="C638" s="60"/>
      <c r="D638" s="62" t="s">
        <v>1027</v>
      </c>
      <c r="E638" s="60"/>
      <c r="F638" s="63"/>
      <c r="G638" s="13"/>
    </row>
    <row r="639">
      <c r="A639" s="60"/>
      <c r="B639" s="60"/>
      <c r="C639" s="60"/>
      <c r="D639" s="62" t="s">
        <v>1028</v>
      </c>
      <c r="E639" s="60"/>
      <c r="F639" s="63"/>
      <c r="G639" s="13"/>
    </row>
    <row r="640">
      <c r="A640" s="64"/>
      <c r="B640" s="64"/>
      <c r="C640" s="64"/>
      <c r="D640" s="65" t="s">
        <v>1029</v>
      </c>
      <c r="E640" s="64"/>
      <c r="F640" s="66"/>
      <c r="G640" s="13"/>
    </row>
    <row r="641">
      <c r="A641" s="50">
        <v>46030.0</v>
      </c>
      <c r="B641" s="50">
        <v>46030.0</v>
      </c>
      <c r="C641" s="58" t="s">
        <v>1030</v>
      </c>
      <c r="D641" s="58" t="s">
        <v>1031</v>
      </c>
      <c r="E641" s="59"/>
      <c r="F641" s="53">
        <v>21000.0</v>
      </c>
      <c r="G641" s="8" t="s">
        <v>1032</v>
      </c>
    </row>
    <row r="642">
      <c r="A642" s="60"/>
      <c r="B642" s="60"/>
      <c r="C642" s="74">
        <v>6.0</v>
      </c>
      <c r="D642" s="62" t="s">
        <v>1033</v>
      </c>
      <c r="E642" s="63"/>
      <c r="F642" s="60"/>
      <c r="G642" s="13"/>
    </row>
    <row r="643">
      <c r="A643" s="64"/>
      <c r="B643" s="64"/>
      <c r="C643" s="64"/>
      <c r="D643" s="65" t="s">
        <v>1034</v>
      </c>
      <c r="E643" s="66"/>
      <c r="F643" s="64"/>
      <c r="G643" s="13"/>
    </row>
    <row r="644">
      <c r="A644" s="50">
        <v>46032.0</v>
      </c>
      <c r="B644" s="50">
        <v>46032.0</v>
      </c>
      <c r="C644" s="58" t="s">
        <v>1035</v>
      </c>
      <c r="D644" s="58" t="s">
        <v>1036</v>
      </c>
      <c r="E644" s="53">
        <v>20000.0</v>
      </c>
      <c r="F644" s="59"/>
      <c r="G644" s="8" t="s">
        <v>1037</v>
      </c>
    </row>
    <row r="645">
      <c r="A645" s="60"/>
      <c r="B645" s="60"/>
      <c r="C645" s="61">
        <v>1600.0</v>
      </c>
      <c r="D645" s="62" t="s">
        <v>1038</v>
      </c>
      <c r="E645" s="60"/>
      <c r="F645" s="63"/>
      <c r="G645" s="13"/>
    </row>
    <row r="646">
      <c r="A646" s="60"/>
      <c r="B646" s="60"/>
      <c r="C646" s="60"/>
      <c r="D646" s="62" t="s">
        <v>1039</v>
      </c>
      <c r="E646" s="60"/>
      <c r="F646" s="63"/>
      <c r="G646" s="13"/>
    </row>
    <row r="647">
      <c r="A647" s="60"/>
      <c r="B647" s="60"/>
      <c r="C647" s="60"/>
      <c r="D647" s="62" t="s">
        <v>1040</v>
      </c>
      <c r="E647" s="60"/>
      <c r="F647" s="63"/>
      <c r="G647" s="13"/>
    </row>
    <row r="648">
      <c r="A648" s="64"/>
      <c r="B648" s="64"/>
      <c r="C648" s="64"/>
      <c r="D648" s="65" t="s">
        <v>1041</v>
      </c>
      <c r="E648" s="64"/>
      <c r="F648" s="66"/>
      <c r="G648" s="13"/>
    </row>
    <row r="649">
      <c r="A649" s="54">
        <v>46033.0</v>
      </c>
      <c r="B649" s="54">
        <v>46033.0</v>
      </c>
      <c r="C649" s="6" t="s">
        <v>1042</v>
      </c>
      <c r="D649" s="6" t="s">
        <v>1043</v>
      </c>
      <c r="E649" s="79">
        <v>132.0</v>
      </c>
      <c r="F649" s="6"/>
      <c r="G649" s="8" t="s">
        <v>842</v>
      </c>
    </row>
    <row r="650">
      <c r="A650" s="54">
        <v>46033.0</v>
      </c>
      <c r="B650" s="54">
        <v>46033.0</v>
      </c>
      <c r="C650" s="55" t="s">
        <v>1044</v>
      </c>
      <c r="D650" s="6" t="s">
        <v>1045</v>
      </c>
      <c r="E650" s="56">
        <v>90000.0</v>
      </c>
      <c r="F650" s="6"/>
      <c r="G650" s="8" t="s">
        <v>1046</v>
      </c>
    </row>
    <row r="651">
      <c r="A651" s="54">
        <v>46033.0</v>
      </c>
      <c r="B651" s="54">
        <v>46033.0</v>
      </c>
      <c r="C651" s="55" t="s">
        <v>1047</v>
      </c>
      <c r="D651" s="55" t="s">
        <v>1048</v>
      </c>
      <c r="E651" s="6"/>
      <c r="F651" s="56">
        <v>355286.0</v>
      </c>
      <c r="G651" s="8" t="s">
        <v>1049</v>
      </c>
    </row>
    <row r="652">
      <c r="A652" s="54">
        <v>46034.0</v>
      </c>
      <c r="B652" s="54">
        <v>46034.0</v>
      </c>
      <c r="C652" s="57">
        <v>472847.0</v>
      </c>
      <c r="D652" s="55" t="s">
        <v>1050</v>
      </c>
      <c r="E652" s="6"/>
      <c r="F652" s="56">
        <v>240000.0</v>
      </c>
      <c r="G652" s="8" t="s">
        <v>1051</v>
      </c>
    </row>
    <row r="653">
      <c r="A653" s="85">
        <v>46036.0</v>
      </c>
      <c r="B653" s="85">
        <v>46036.0</v>
      </c>
      <c r="C653" s="86" t="s">
        <v>1052</v>
      </c>
      <c r="D653" s="86" t="s">
        <v>1053</v>
      </c>
      <c r="E653" s="87">
        <v>1270.55</v>
      </c>
      <c r="F653" s="88"/>
      <c r="G653" s="8" t="s">
        <v>269</v>
      </c>
    </row>
    <row r="654">
      <c r="A654" s="85">
        <v>46037.0</v>
      </c>
      <c r="B654" s="85">
        <v>46037.0</v>
      </c>
      <c r="C654" s="86" t="s">
        <v>1054</v>
      </c>
      <c r="D654" s="86" t="s">
        <v>1055</v>
      </c>
      <c r="E654" s="89">
        <v>251899.0</v>
      </c>
      <c r="F654" s="88"/>
      <c r="G654" s="8" t="s">
        <v>1056</v>
      </c>
    </row>
    <row r="655">
      <c r="A655" s="85">
        <v>46037.0</v>
      </c>
      <c r="B655" s="85">
        <v>46037.0</v>
      </c>
      <c r="C655" s="86" t="s">
        <v>1057</v>
      </c>
      <c r="D655" s="86" t="s">
        <v>1058</v>
      </c>
      <c r="E655" s="89">
        <v>58170.0</v>
      </c>
      <c r="F655" s="88"/>
      <c r="G655" s="8" t="s">
        <v>1059</v>
      </c>
    </row>
    <row r="656">
      <c r="A656" s="85">
        <v>46037.0</v>
      </c>
      <c r="B656" s="85">
        <v>46037.0</v>
      </c>
      <c r="C656" s="86" t="s">
        <v>1060</v>
      </c>
      <c r="D656" s="86" t="s">
        <v>1061</v>
      </c>
      <c r="E656" s="89">
        <v>10017.0</v>
      </c>
      <c r="F656" s="88"/>
      <c r="G656" s="8" t="s">
        <v>1062</v>
      </c>
    </row>
    <row r="657" ht="45.75" customHeight="1">
      <c r="A657" s="90" t="s">
        <v>1063</v>
      </c>
      <c r="B657" s="90" t="s">
        <v>1063</v>
      </c>
      <c r="C657" s="90" t="s">
        <v>1064</v>
      </c>
      <c r="D657" s="90" t="s">
        <v>1065</v>
      </c>
      <c r="E657" s="90" t="s">
        <v>1066</v>
      </c>
      <c r="F657" s="90" t="s">
        <v>91</v>
      </c>
      <c r="G657" s="8" t="s">
        <v>1067</v>
      </c>
    </row>
    <row r="658">
      <c r="A658" s="90" t="s">
        <v>1068</v>
      </c>
      <c r="B658" s="90" t="s">
        <v>1068</v>
      </c>
      <c r="C658" s="90" t="s">
        <v>1069</v>
      </c>
      <c r="D658" s="90" t="s">
        <v>1070</v>
      </c>
      <c r="E658" s="90" t="s">
        <v>1071</v>
      </c>
      <c r="F658" s="90" t="s">
        <v>91</v>
      </c>
      <c r="G658" s="8" t="s">
        <v>433</v>
      </c>
    </row>
    <row r="659">
      <c r="A659" s="90" t="s">
        <v>1068</v>
      </c>
      <c r="B659" s="90" t="s">
        <v>1068</v>
      </c>
      <c r="C659" s="90" t="s">
        <v>1072</v>
      </c>
      <c r="D659" s="90" t="s">
        <v>1073</v>
      </c>
      <c r="E659" s="90" t="s">
        <v>91</v>
      </c>
      <c r="F659" s="90" t="s">
        <v>1071</v>
      </c>
      <c r="G659" s="8" t="s">
        <v>433</v>
      </c>
    </row>
    <row r="660">
      <c r="A660" s="90" t="s">
        <v>1068</v>
      </c>
      <c r="B660" s="90" t="s">
        <v>1068</v>
      </c>
      <c r="C660" s="90" t="s">
        <v>1074</v>
      </c>
      <c r="D660" s="90" t="s">
        <v>1075</v>
      </c>
      <c r="E660" s="90" t="s">
        <v>1071</v>
      </c>
      <c r="F660" s="90" t="s">
        <v>91</v>
      </c>
      <c r="G660" s="8" t="s">
        <v>17</v>
      </c>
    </row>
    <row r="661">
      <c r="A661" s="90" t="s">
        <v>1076</v>
      </c>
      <c r="B661" s="90" t="s">
        <v>1076</v>
      </c>
      <c r="C661" s="90" t="s">
        <v>1077</v>
      </c>
      <c r="D661" s="90" t="s">
        <v>1078</v>
      </c>
      <c r="E661" s="90" t="s">
        <v>91</v>
      </c>
      <c r="F661" s="90" t="s">
        <v>1079</v>
      </c>
      <c r="G661" s="8" t="s">
        <v>1080</v>
      </c>
    </row>
    <row r="662">
      <c r="A662" s="90" t="s">
        <v>1081</v>
      </c>
      <c r="B662" s="90" t="s">
        <v>1081</v>
      </c>
      <c r="C662" s="90" t="s">
        <v>1082</v>
      </c>
      <c r="D662" s="90" t="s">
        <v>1083</v>
      </c>
      <c r="E662" s="90" t="s">
        <v>91</v>
      </c>
      <c r="F662" s="90" t="s">
        <v>1079</v>
      </c>
      <c r="G662" s="8" t="s">
        <v>1080</v>
      </c>
    </row>
    <row r="663">
      <c r="A663" s="90" t="s">
        <v>1084</v>
      </c>
      <c r="B663" s="90" t="s">
        <v>1084</v>
      </c>
      <c r="C663" s="90" t="s">
        <v>1085</v>
      </c>
      <c r="D663" s="90" t="s">
        <v>1086</v>
      </c>
      <c r="E663" s="90" t="s">
        <v>1087</v>
      </c>
      <c r="F663" s="90" t="s">
        <v>91</v>
      </c>
      <c r="G663" s="8" t="s">
        <v>1088</v>
      </c>
    </row>
    <row r="664">
      <c r="A664" s="90" t="s">
        <v>1084</v>
      </c>
      <c r="B664" s="90" t="s">
        <v>1084</v>
      </c>
      <c r="C664" s="90" t="s">
        <v>1089</v>
      </c>
      <c r="D664" s="90" t="s">
        <v>1090</v>
      </c>
      <c r="E664" s="90" t="s">
        <v>91</v>
      </c>
      <c r="F664" s="90" t="s">
        <v>1091</v>
      </c>
      <c r="G664" s="8" t="s">
        <v>1092</v>
      </c>
    </row>
    <row r="665">
      <c r="A665" s="90" t="s">
        <v>1084</v>
      </c>
      <c r="B665" s="90" t="s">
        <v>1084</v>
      </c>
      <c r="C665" s="90" t="s">
        <v>1093</v>
      </c>
      <c r="D665" s="90" t="s">
        <v>1094</v>
      </c>
      <c r="E665" s="90" t="s">
        <v>1095</v>
      </c>
      <c r="F665" s="90" t="s">
        <v>91</v>
      </c>
      <c r="G665" s="8" t="s">
        <v>164</v>
      </c>
    </row>
    <row r="666">
      <c r="A666" s="90" t="s">
        <v>1096</v>
      </c>
      <c r="B666" s="90" t="s">
        <v>1096</v>
      </c>
      <c r="C666" s="90" t="s">
        <v>1097</v>
      </c>
      <c r="D666" s="90" t="s">
        <v>1098</v>
      </c>
      <c r="E666" s="90" t="s">
        <v>1099</v>
      </c>
      <c r="F666" s="90" t="s">
        <v>91</v>
      </c>
      <c r="G666" s="8" t="s">
        <v>17</v>
      </c>
    </row>
    <row r="667">
      <c r="A667" s="90" t="s">
        <v>1096</v>
      </c>
      <c r="B667" s="90" t="s">
        <v>1096</v>
      </c>
      <c r="C667" s="90" t="s">
        <v>1100</v>
      </c>
      <c r="D667" s="90" t="s">
        <v>1101</v>
      </c>
      <c r="E667" s="90" t="s">
        <v>1102</v>
      </c>
      <c r="F667" s="90" t="s">
        <v>91</v>
      </c>
      <c r="G667" s="8" t="s">
        <v>1103</v>
      </c>
    </row>
    <row r="668">
      <c r="A668" s="90" t="s">
        <v>1096</v>
      </c>
      <c r="B668" s="90" t="s">
        <v>1096</v>
      </c>
      <c r="C668" s="90" t="s">
        <v>1104</v>
      </c>
      <c r="D668" s="90" t="s">
        <v>1105</v>
      </c>
      <c r="E668" s="90" t="s">
        <v>1106</v>
      </c>
      <c r="F668" s="90" t="s">
        <v>91</v>
      </c>
      <c r="G668" s="8" t="s">
        <v>1107</v>
      </c>
    </row>
    <row r="669">
      <c r="A669" s="90" t="s">
        <v>1096</v>
      </c>
      <c r="B669" s="90" t="s">
        <v>1096</v>
      </c>
      <c r="C669" s="90" t="s">
        <v>1108</v>
      </c>
      <c r="D669" s="90" t="s">
        <v>1109</v>
      </c>
      <c r="E669" s="90" t="s">
        <v>1110</v>
      </c>
      <c r="F669" s="90" t="s">
        <v>91</v>
      </c>
      <c r="G669" s="8" t="s">
        <v>1111</v>
      </c>
    </row>
    <row r="670">
      <c r="A670" s="90" t="s">
        <v>1112</v>
      </c>
      <c r="B670" s="90" t="s">
        <v>1112</v>
      </c>
      <c r="C670" s="90" t="s">
        <v>1113</v>
      </c>
      <c r="D670" s="90" t="s">
        <v>1114</v>
      </c>
      <c r="E670" s="90" t="s">
        <v>1066</v>
      </c>
      <c r="F670" s="90" t="s">
        <v>91</v>
      </c>
      <c r="G670" s="8" t="s">
        <v>1115</v>
      </c>
    </row>
    <row r="671">
      <c r="A671" s="90" t="s">
        <v>1112</v>
      </c>
      <c r="B671" s="90" t="s">
        <v>1112</v>
      </c>
      <c r="C671" s="90" t="s">
        <v>1116</v>
      </c>
      <c r="D671" s="90" t="s">
        <v>1117</v>
      </c>
      <c r="E671" s="90" t="s">
        <v>1118</v>
      </c>
      <c r="F671" s="90" t="s">
        <v>91</v>
      </c>
      <c r="G671" s="8" t="s">
        <v>1119</v>
      </c>
    </row>
    <row r="672">
      <c r="A672" s="90" t="s">
        <v>1120</v>
      </c>
      <c r="B672" s="90" t="s">
        <v>1120</v>
      </c>
      <c r="C672" s="90" t="s">
        <v>1121</v>
      </c>
      <c r="D672" s="90" t="s">
        <v>1122</v>
      </c>
      <c r="E672" s="90" t="s">
        <v>1123</v>
      </c>
      <c r="F672" s="90" t="s">
        <v>91</v>
      </c>
      <c r="G672" s="8" t="s">
        <v>1124</v>
      </c>
    </row>
    <row r="673">
      <c r="A673" s="90" t="s">
        <v>1125</v>
      </c>
      <c r="B673" s="90" t="s">
        <v>1125</v>
      </c>
      <c r="C673" s="90" t="s">
        <v>1126</v>
      </c>
      <c r="D673" s="90" t="s">
        <v>1127</v>
      </c>
      <c r="E673" s="90" t="s">
        <v>1091</v>
      </c>
      <c r="F673" s="90" t="s">
        <v>91</v>
      </c>
      <c r="G673" s="8" t="s">
        <v>311</v>
      </c>
    </row>
    <row r="674">
      <c r="A674" s="90" t="s">
        <v>1128</v>
      </c>
      <c r="B674" s="90" t="s">
        <v>1128</v>
      </c>
      <c r="C674" s="90" t="s">
        <v>1129</v>
      </c>
      <c r="D674" s="90" t="s">
        <v>1130</v>
      </c>
      <c r="E674" s="90" t="s">
        <v>91</v>
      </c>
      <c r="F674" s="90" t="s">
        <v>1131</v>
      </c>
      <c r="G674" s="8" t="s">
        <v>1132</v>
      </c>
    </row>
    <row r="675">
      <c r="A675" s="90" t="s">
        <v>1128</v>
      </c>
      <c r="B675" s="90" t="s">
        <v>1128</v>
      </c>
      <c r="C675" s="90" t="s">
        <v>1133</v>
      </c>
      <c r="D675" s="90" t="s">
        <v>1134</v>
      </c>
      <c r="E675" s="90" t="s">
        <v>1135</v>
      </c>
      <c r="F675" s="90" t="s">
        <v>91</v>
      </c>
      <c r="G675" s="8" t="s">
        <v>178</v>
      </c>
    </row>
    <row r="676">
      <c r="A676" s="90" t="s">
        <v>1136</v>
      </c>
      <c r="B676" s="90" t="s">
        <v>1136</v>
      </c>
      <c r="C676" s="90" t="s">
        <v>1137</v>
      </c>
      <c r="D676" s="90" t="s">
        <v>1138</v>
      </c>
      <c r="E676" s="90" t="s">
        <v>91</v>
      </c>
      <c r="F676" s="90" t="s">
        <v>1139</v>
      </c>
      <c r="G676" s="8" t="s">
        <v>1140</v>
      </c>
    </row>
    <row r="677">
      <c r="A677" s="90" t="s">
        <v>1136</v>
      </c>
      <c r="B677" s="90" t="s">
        <v>1136</v>
      </c>
      <c r="C677" s="90" t="s">
        <v>1141</v>
      </c>
      <c r="D677" s="90" t="s">
        <v>1138</v>
      </c>
      <c r="E677" s="90" t="s">
        <v>91</v>
      </c>
      <c r="F677" s="90" t="s">
        <v>1139</v>
      </c>
      <c r="G677" s="8" t="s">
        <v>1142</v>
      </c>
    </row>
    <row r="678">
      <c r="A678" s="90" t="s">
        <v>1136</v>
      </c>
      <c r="B678" s="90" t="s">
        <v>1136</v>
      </c>
      <c r="C678" s="90" t="s">
        <v>1143</v>
      </c>
      <c r="D678" s="90" t="s">
        <v>1144</v>
      </c>
      <c r="E678" s="90" t="s">
        <v>1145</v>
      </c>
      <c r="F678" s="90" t="s">
        <v>91</v>
      </c>
      <c r="G678" s="8" t="s">
        <v>1146</v>
      </c>
    </row>
    <row r="679">
      <c r="A679" s="90" t="s">
        <v>1147</v>
      </c>
      <c r="B679" s="90" t="s">
        <v>1147</v>
      </c>
      <c r="C679" s="90" t="s">
        <v>1148</v>
      </c>
      <c r="D679" s="90" t="s">
        <v>1098</v>
      </c>
      <c r="E679" s="90" t="s">
        <v>1149</v>
      </c>
      <c r="F679" s="90" t="s">
        <v>91</v>
      </c>
      <c r="G679" s="8" t="s">
        <v>17</v>
      </c>
    </row>
    <row r="680">
      <c r="A680" s="90" t="s">
        <v>1150</v>
      </c>
      <c r="B680" s="90" t="s">
        <v>1150</v>
      </c>
      <c r="C680" s="90" t="s">
        <v>1151</v>
      </c>
      <c r="D680" s="90" t="s">
        <v>1152</v>
      </c>
      <c r="E680" s="90" t="s">
        <v>91</v>
      </c>
      <c r="F680" s="90" t="s">
        <v>1153</v>
      </c>
      <c r="G680" s="8" t="s">
        <v>1154</v>
      </c>
    </row>
    <row r="681">
      <c r="A681" s="90" t="s">
        <v>1155</v>
      </c>
      <c r="B681" s="90" t="s">
        <v>1155</v>
      </c>
      <c r="C681" s="90" t="s">
        <v>1156</v>
      </c>
      <c r="D681" s="90" t="s">
        <v>1157</v>
      </c>
      <c r="E681" s="90" t="s">
        <v>91</v>
      </c>
      <c r="F681" s="90" t="s">
        <v>1158</v>
      </c>
      <c r="G681" s="8" t="s">
        <v>1159</v>
      </c>
    </row>
    <row r="682">
      <c r="A682" s="90" t="s">
        <v>1155</v>
      </c>
      <c r="B682" s="90" t="s">
        <v>1155</v>
      </c>
      <c r="C682" s="90" t="s">
        <v>1160</v>
      </c>
      <c r="D682" s="90" t="s">
        <v>1161</v>
      </c>
      <c r="E682" s="90" t="s">
        <v>1162</v>
      </c>
      <c r="F682" s="90" t="s">
        <v>91</v>
      </c>
      <c r="G682" s="8" t="s">
        <v>1163</v>
      </c>
    </row>
    <row r="683">
      <c r="A683" s="90" t="s">
        <v>1155</v>
      </c>
      <c r="B683" s="90" t="s">
        <v>1155</v>
      </c>
      <c r="C683" s="90" t="s">
        <v>1164</v>
      </c>
      <c r="D683" s="90" t="s">
        <v>1165</v>
      </c>
      <c r="E683" s="90" t="s">
        <v>1139</v>
      </c>
      <c r="F683" s="90" t="s">
        <v>91</v>
      </c>
      <c r="G683" s="8" t="s">
        <v>1166</v>
      </c>
    </row>
    <row r="684">
      <c r="A684" s="90" t="s">
        <v>1155</v>
      </c>
      <c r="B684" s="90" t="s">
        <v>1155</v>
      </c>
      <c r="C684" s="90" t="s">
        <v>1167</v>
      </c>
      <c r="D684" s="90" t="s">
        <v>1168</v>
      </c>
      <c r="E684" s="90" t="s">
        <v>1139</v>
      </c>
      <c r="F684" s="90" t="s">
        <v>91</v>
      </c>
      <c r="G684" s="8" t="s">
        <v>1166</v>
      </c>
    </row>
    <row r="685">
      <c r="A685" s="90" t="s">
        <v>1155</v>
      </c>
      <c r="B685" s="90" t="s">
        <v>1155</v>
      </c>
      <c r="C685" s="90" t="s">
        <v>1169</v>
      </c>
      <c r="D685" s="90" t="s">
        <v>1170</v>
      </c>
      <c r="E685" s="90" t="s">
        <v>1171</v>
      </c>
      <c r="F685" s="90" t="s">
        <v>91</v>
      </c>
      <c r="G685" s="8" t="s">
        <v>1172</v>
      </c>
    </row>
    <row r="686">
      <c r="A686" s="90" t="s">
        <v>1173</v>
      </c>
      <c r="B686" s="90" t="s">
        <v>1173</v>
      </c>
      <c r="C686" s="90" t="s">
        <v>1174</v>
      </c>
      <c r="D686" s="90" t="s">
        <v>1175</v>
      </c>
      <c r="E686" s="90" t="s">
        <v>1099</v>
      </c>
      <c r="F686" s="90" t="s">
        <v>91</v>
      </c>
      <c r="G686" s="8" t="s">
        <v>1176</v>
      </c>
    </row>
    <row r="687">
      <c r="A687" s="90" t="s">
        <v>1177</v>
      </c>
      <c r="B687" s="90" t="s">
        <v>1177</v>
      </c>
      <c r="C687" s="90" t="s">
        <v>1178</v>
      </c>
      <c r="D687" s="90" t="s">
        <v>1179</v>
      </c>
      <c r="E687" s="90" t="s">
        <v>1180</v>
      </c>
      <c r="F687" s="90" t="s">
        <v>91</v>
      </c>
      <c r="G687" s="8" t="s">
        <v>269</v>
      </c>
    </row>
    <row r="688">
      <c r="A688" s="90" t="s">
        <v>1181</v>
      </c>
      <c r="B688" s="90" t="s">
        <v>1181</v>
      </c>
      <c r="C688" s="90" t="s">
        <v>1182</v>
      </c>
      <c r="D688" s="90" t="s">
        <v>1183</v>
      </c>
      <c r="E688" s="90" t="s">
        <v>1184</v>
      </c>
      <c r="F688" s="90" t="s">
        <v>91</v>
      </c>
      <c r="G688" s="8" t="s">
        <v>1185</v>
      </c>
    </row>
    <row r="689">
      <c r="A689" s="90" t="s">
        <v>1181</v>
      </c>
      <c r="B689" s="90" t="s">
        <v>1181</v>
      </c>
      <c r="C689" s="90" t="s">
        <v>1186</v>
      </c>
      <c r="D689" s="90" t="s">
        <v>1187</v>
      </c>
      <c r="E689" s="90" t="s">
        <v>1188</v>
      </c>
      <c r="F689" s="90" t="s">
        <v>91</v>
      </c>
      <c r="G689" s="8" t="s">
        <v>1189</v>
      </c>
    </row>
    <row r="690">
      <c r="A690" s="90" t="s">
        <v>1190</v>
      </c>
      <c r="B690" s="90" t="s">
        <v>1190</v>
      </c>
      <c r="C690" s="90" t="s">
        <v>1191</v>
      </c>
      <c r="D690" s="90" t="s">
        <v>1192</v>
      </c>
      <c r="E690" s="90" t="s">
        <v>1193</v>
      </c>
      <c r="F690" s="90" t="s">
        <v>91</v>
      </c>
      <c r="G690" s="8" t="s">
        <v>1194</v>
      </c>
    </row>
    <row r="691">
      <c r="A691" s="90" t="s">
        <v>1195</v>
      </c>
      <c r="B691" s="90" t="s">
        <v>1195</v>
      </c>
      <c r="C691" s="90" t="s">
        <v>1196</v>
      </c>
      <c r="D691" s="90" t="s">
        <v>1197</v>
      </c>
      <c r="E691" s="90" t="s">
        <v>91</v>
      </c>
      <c r="F691" s="90" t="s">
        <v>1198</v>
      </c>
      <c r="G691" s="8" t="s">
        <v>1199</v>
      </c>
    </row>
    <row r="692">
      <c r="A692" s="90" t="s">
        <v>1200</v>
      </c>
      <c r="B692" s="90" t="s">
        <v>1200</v>
      </c>
      <c r="C692" s="90" t="s">
        <v>1201</v>
      </c>
      <c r="D692" s="90" t="s">
        <v>1202</v>
      </c>
      <c r="E692" s="90" t="s">
        <v>91</v>
      </c>
      <c r="F692" s="90" t="s">
        <v>1203</v>
      </c>
      <c r="G692" s="8" t="s">
        <v>1204</v>
      </c>
    </row>
    <row r="693">
      <c r="A693" s="90" t="s">
        <v>1205</v>
      </c>
      <c r="B693" s="90" t="s">
        <v>1205</v>
      </c>
      <c r="C693" s="90" t="s">
        <v>1206</v>
      </c>
      <c r="D693" s="90" t="s">
        <v>1207</v>
      </c>
      <c r="E693" s="90" t="s">
        <v>91</v>
      </c>
      <c r="F693" s="90" t="s">
        <v>1208</v>
      </c>
      <c r="G693" s="8" t="s">
        <v>1209</v>
      </c>
    </row>
    <row r="694">
      <c r="A694" s="90" t="s">
        <v>1205</v>
      </c>
      <c r="B694" s="90" t="s">
        <v>1205</v>
      </c>
      <c r="C694" s="90" t="s">
        <v>1210</v>
      </c>
      <c r="D694" s="90" t="s">
        <v>1211</v>
      </c>
      <c r="E694" s="90" t="s">
        <v>1212</v>
      </c>
      <c r="F694" s="90" t="s">
        <v>91</v>
      </c>
      <c r="G694" s="8" t="s">
        <v>1213</v>
      </c>
    </row>
    <row r="695">
      <c r="A695" s="90" t="s">
        <v>1205</v>
      </c>
      <c r="B695" s="90" t="s">
        <v>1205</v>
      </c>
      <c r="C695" s="90" t="s">
        <v>1214</v>
      </c>
      <c r="D695" s="90" t="s">
        <v>1215</v>
      </c>
      <c r="E695" s="90" t="s">
        <v>1216</v>
      </c>
      <c r="F695" s="90" t="s">
        <v>91</v>
      </c>
      <c r="G695" s="8" t="s">
        <v>1217</v>
      </c>
    </row>
    <row r="696">
      <c r="A696" s="90" t="s">
        <v>1218</v>
      </c>
      <c r="B696" s="90" t="s">
        <v>1218</v>
      </c>
      <c r="C696" s="90" t="s">
        <v>1219</v>
      </c>
      <c r="D696" s="90" t="s">
        <v>1220</v>
      </c>
      <c r="E696" s="90" t="s">
        <v>1221</v>
      </c>
      <c r="F696" s="90" t="s">
        <v>91</v>
      </c>
      <c r="G696" s="8" t="s">
        <v>1222</v>
      </c>
    </row>
    <row r="697">
      <c r="A697" s="90" t="s">
        <v>1223</v>
      </c>
      <c r="B697" s="90" t="s">
        <v>1223</v>
      </c>
      <c r="C697" s="90" t="s">
        <v>1224</v>
      </c>
      <c r="D697" s="90" t="s">
        <v>1225</v>
      </c>
      <c r="E697" s="90" t="s">
        <v>91</v>
      </c>
      <c r="F697" s="90" t="s">
        <v>1079</v>
      </c>
      <c r="G697" s="8" t="s">
        <v>1204</v>
      </c>
    </row>
    <row r="698">
      <c r="A698" s="90" t="s">
        <v>1223</v>
      </c>
      <c r="B698" s="90" t="s">
        <v>1223</v>
      </c>
      <c r="C698" s="90" t="s">
        <v>1226</v>
      </c>
      <c r="D698" s="90" t="s">
        <v>1227</v>
      </c>
      <c r="E698" s="90" t="s">
        <v>1228</v>
      </c>
      <c r="F698" s="90" t="s">
        <v>91</v>
      </c>
      <c r="G698" s="8" t="s">
        <v>1229</v>
      </c>
    </row>
    <row r="699">
      <c r="A699" s="90" t="s">
        <v>1223</v>
      </c>
      <c r="B699" s="90" t="s">
        <v>1223</v>
      </c>
      <c r="C699" s="90" t="s">
        <v>1230</v>
      </c>
      <c r="D699" s="90" t="s">
        <v>1231</v>
      </c>
      <c r="E699" s="90" t="s">
        <v>1232</v>
      </c>
      <c r="F699" s="90" t="s">
        <v>91</v>
      </c>
      <c r="G699" s="8" t="s">
        <v>1233</v>
      </c>
    </row>
    <row r="700">
      <c r="A700" s="90" t="s">
        <v>1223</v>
      </c>
      <c r="B700" s="90" t="s">
        <v>1223</v>
      </c>
      <c r="C700" s="90" t="s">
        <v>1234</v>
      </c>
      <c r="D700" s="90" t="s">
        <v>1235</v>
      </c>
      <c r="E700" s="90" t="s">
        <v>1198</v>
      </c>
      <c r="F700" s="90" t="s">
        <v>91</v>
      </c>
      <c r="G700" s="8" t="s">
        <v>1236</v>
      </c>
    </row>
    <row r="701">
      <c r="A701" s="90" t="s">
        <v>1223</v>
      </c>
      <c r="B701" s="90" t="s">
        <v>1223</v>
      </c>
      <c r="C701" s="90" t="s">
        <v>1237</v>
      </c>
      <c r="D701" s="90" t="s">
        <v>1238</v>
      </c>
      <c r="E701" s="90" t="s">
        <v>1239</v>
      </c>
      <c r="F701" s="90" t="s">
        <v>91</v>
      </c>
      <c r="G701" s="8" t="s">
        <v>1240</v>
      </c>
    </row>
    <row r="702">
      <c r="A702" s="90" t="s">
        <v>1223</v>
      </c>
      <c r="B702" s="90" t="s">
        <v>1223</v>
      </c>
      <c r="C702" s="90" t="s">
        <v>1241</v>
      </c>
      <c r="D702" s="90" t="s">
        <v>1242</v>
      </c>
      <c r="E702" s="90" t="s">
        <v>1099</v>
      </c>
      <c r="F702" s="90" t="s">
        <v>91</v>
      </c>
      <c r="G702" s="8" t="s">
        <v>1243</v>
      </c>
    </row>
    <row r="703">
      <c r="A703" s="90" t="s">
        <v>1244</v>
      </c>
      <c r="B703" s="90" t="s">
        <v>1244</v>
      </c>
      <c r="C703" s="90" t="s">
        <v>1245</v>
      </c>
      <c r="D703" s="90" t="s">
        <v>1246</v>
      </c>
      <c r="E703" s="90" t="s">
        <v>1247</v>
      </c>
      <c r="F703" s="90" t="s">
        <v>91</v>
      </c>
      <c r="G703" s="8" t="s">
        <v>1248</v>
      </c>
    </row>
    <row r="704">
      <c r="A704" s="90" t="s">
        <v>1244</v>
      </c>
      <c r="B704" s="90" t="s">
        <v>1244</v>
      </c>
      <c r="C704" s="90" t="s">
        <v>1249</v>
      </c>
      <c r="D704" s="90" t="s">
        <v>1250</v>
      </c>
      <c r="E704" s="90" t="s">
        <v>91</v>
      </c>
      <c r="F704" s="90" t="s">
        <v>1145</v>
      </c>
      <c r="G704" s="8" t="s">
        <v>1251</v>
      </c>
    </row>
    <row r="705">
      <c r="A705" s="90" t="s">
        <v>1244</v>
      </c>
      <c r="B705" s="90" t="s">
        <v>1244</v>
      </c>
      <c r="C705" s="90" t="s">
        <v>1252</v>
      </c>
      <c r="D705" s="90" t="s">
        <v>1253</v>
      </c>
      <c r="E705" s="90" t="s">
        <v>1254</v>
      </c>
      <c r="F705" s="90" t="s">
        <v>91</v>
      </c>
      <c r="G705" s="8" t="s">
        <v>1255</v>
      </c>
    </row>
    <row r="706">
      <c r="A706" s="90" t="s">
        <v>1244</v>
      </c>
      <c r="B706" s="90" t="s">
        <v>1244</v>
      </c>
      <c r="C706" s="90" t="s">
        <v>1256</v>
      </c>
      <c r="D706" s="90" t="s">
        <v>1257</v>
      </c>
      <c r="E706" s="90" t="s">
        <v>1258</v>
      </c>
      <c r="F706" s="90" t="s">
        <v>91</v>
      </c>
      <c r="G706" s="8" t="s">
        <v>1259</v>
      </c>
    </row>
    <row r="707">
      <c r="A707" s="90" t="s">
        <v>1260</v>
      </c>
      <c r="B707" s="90" t="s">
        <v>1260</v>
      </c>
      <c r="C707" s="90" t="s">
        <v>1261</v>
      </c>
      <c r="D707" s="90" t="s">
        <v>1262</v>
      </c>
      <c r="E707" s="90" t="s">
        <v>91</v>
      </c>
      <c r="F707" s="90" t="s">
        <v>1263</v>
      </c>
      <c r="G707" s="8" t="s">
        <v>1264</v>
      </c>
    </row>
    <row r="708">
      <c r="A708" s="90" t="s">
        <v>1260</v>
      </c>
      <c r="B708" s="90" t="s">
        <v>1260</v>
      </c>
      <c r="C708" s="90" t="s">
        <v>1265</v>
      </c>
      <c r="D708" s="90" t="s">
        <v>1266</v>
      </c>
      <c r="E708" s="90" t="s">
        <v>91</v>
      </c>
      <c r="F708" s="90" t="s">
        <v>1267</v>
      </c>
      <c r="G708" s="8" t="s">
        <v>1268</v>
      </c>
    </row>
    <row r="709">
      <c r="A709" s="90" t="s">
        <v>1260</v>
      </c>
      <c r="B709" s="90" t="s">
        <v>1260</v>
      </c>
      <c r="C709" s="90" t="s">
        <v>1269</v>
      </c>
      <c r="D709" s="90" t="s">
        <v>1270</v>
      </c>
      <c r="E709" s="90" t="s">
        <v>1271</v>
      </c>
      <c r="F709" s="90" t="s">
        <v>91</v>
      </c>
      <c r="G709" s="8" t="s">
        <v>1272</v>
      </c>
    </row>
    <row r="710">
      <c r="A710" s="90" t="s">
        <v>1260</v>
      </c>
      <c r="B710" s="90" t="s">
        <v>1260</v>
      </c>
      <c r="C710" s="90" t="s">
        <v>1273</v>
      </c>
      <c r="D710" s="90" t="s">
        <v>1274</v>
      </c>
      <c r="E710" s="90" t="s">
        <v>1158</v>
      </c>
      <c r="F710" s="90" t="s">
        <v>91</v>
      </c>
      <c r="G710" s="8" t="s">
        <v>1275</v>
      </c>
    </row>
    <row r="711">
      <c r="A711" s="90" t="s">
        <v>1260</v>
      </c>
      <c r="B711" s="90" t="s">
        <v>1260</v>
      </c>
      <c r="C711" s="90" t="s">
        <v>1276</v>
      </c>
      <c r="D711" s="90" t="s">
        <v>1277</v>
      </c>
      <c r="E711" s="90" t="s">
        <v>1278</v>
      </c>
      <c r="F711" s="90" t="s">
        <v>91</v>
      </c>
      <c r="G711" s="8" t="s">
        <v>17</v>
      </c>
    </row>
    <row r="712">
      <c r="A712" s="90" t="s">
        <v>1260</v>
      </c>
      <c r="B712" s="90" t="s">
        <v>1260</v>
      </c>
      <c r="C712" s="90" t="s">
        <v>1279</v>
      </c>
      <c r="D712" s="90" t="s">
        <v>1280</v>
      </c>
      <c r="E712" s="90" t="s">
        <v>1281</v>
      </c>
      <c r="F712" s="90" t="s">
        <v>91</v>
      </c>
      <c r="G712" s="8" t="s">
        <v>1282</v>
      </c>
    </row>
    <row r="713">
      <c r="A713" s="90" t="s">
        <v>1283</v>
      </c>
      <c r="B713" s="90" t="s">
        <v>1260</v>
      </c>
      <c r="C713" s="90" t="s">
        <v>1284</v>
      </c>
      <c r="D713" s="90" t="s">
        <v>1285</v>
      </c>
      <c r="E713" s="90" t="s">
        <v>1286</v>
      </c>
      <c r="F713" s="90" t="s">
        <v>91</v>
      </c>
      <c r="G713" s="8" t="s">
        <v>1282</v>
      </c>
    </row>
    <row r="714">
      <c r="A714" s="90" t="s">
        <v>1283</v>
      </c>
      <c r="B714" s="90" t="s">
        <v>1283</v>
      </c>
      <c r="C714" s="90" t="s">
        <v>1287</v>
      </c>
      <c r="D714" s="90" t="s">
        <v>1288</v>
      </c>
      <c r="E714" s="90" t="s">
        <v>1289</v>
      </c>
      <c r="F714" s="90" t="s">
        <v>91</v>
      </c>
      <c r="G714" s="8" t="s">
        <v>1290</v>
      </c>
    </row>
    <row r="715">
      <c r="A715" s="90" t="s">
        <v>1283</v>
      </c>
      <c r="B715" s="90" t="s">
        <v>1283</v>
      </c>
      <c r="C715" s="90" t="s">
        <v>1291</v>
      </c>
      <c r="D715" s="90" t="s">
        <v>1292</v>
      </c>
      <c r="E715" s="90" t="s">
        <v>1099</v>
      </c>
      <c r="F715" s="90" t="s">
        <v>91</v>
      </c>
      <c r="G715" s="8" t="s">
        <v>1293</v>
      </c>
    </row>
    <row r="716">
      <c r="A716" s="90" t="s">
        <v>1294</v>
      </c>
      <c r="B716" s="90" t="s">
        <v>1294</v>
      </c>
      <c r="C716" s="90" t="s">
        <v>1295</v>
      </c>
      <c r="D716" s="90" t="s">
        <v>1098</v>
      </c>
      <c r="E716" s="90" t="s">
        <v>1296</v>
      </c>
      <c r="F716" s="90" t="s">
        <v>91</v>
      </c>
      <c r="G716" s="8" t="s">
        <v>1282</v>
      </c>
    </row>
    <row r="717">
      <c r="A717" s="90" t="s">
        <v>1297</v>
      </c>
      <c r="B717" s="90" t="s">
        <v>1297</v>
      </c>
      <c r="C717" s="90" t="s">
        <v>1298</v>
      </c>
      <c r="D717" s="90" t="s">
        <v>1299</v>
      </c>
      <c r="E717" s="90" t="s">
        <v>1091</v>
      </c>
      <c r="F717" s="90" t="s">
        <v>91</v>
      </c>
      <c r="G717" s="8" t="s">
        <v>311</v>
      </c>
    </row>
    <row r="718">
      <c r="A718" s="90" t="s">
        <v>1297</v>
      </c>
      <c r="B718" s="90" t="s">
        <v>1297</v>
      </c>
      <c r="C718" s="90" t="s">
        <v>1300</v>
      </c>
      <c r="D718" s="90" t="s">
        <v>1301</v>
      </c>
      <c r="E718" s="90" t="s">
        <v>1145</v>
      </c>
      <c r="F718" s="90" t="s">
        <v>91</v>
      </c>
      <c r="G718" s="8" t="s">
        <v>1302</v>
      </c>
    </row>
    <row r="719">
      <c r="A719" s="90" t="s">
        <v>1297</v>
      </c>
      <c r="B719" s="90" t="s">
        <v>1297</v>
      </c>
      <c r="C719" s="90" t="s">
        <v>1303</v>
      </c>
      <c r="D719" s="90" t="s">
        <v>1304</v>
      </c>
      <c r="E719" s="90" t="s">
        <v>1305</v>
      </c>
      <c r="F719" s="90" t="s">
        <v>91</v>
      </c>
      <c r="G719" s="8" t="s">
        <v>1306</v>
      </c>
    </row>
    <row r="720">
      <c r="A720" s="90" t="s">
        <v>1297</v>
      </c>
      <c r="B720" s="90" t="s">
        <v>1297</v>
      </c>
      <c r="C720" s="90" t="s">
        <v>1307</v>
      </c>
      <c r="D720" s="90" t="s">
        <v>1308</v>
      </c>
      <c r="E720" s="90" t="s">
        <v>91</v>
      </c>
      <c r="F720" s="90" t="s">
        <v>1309</v>
      </c>
      <c r="G720" s="8" t="s">
        <v>1310</v>
      </c>
    </row>
    <row r="721">
      <c r="A721" s="90" t="s">
        <v>1297</v>
      </c>
      <c r="B721" s="90" t="s">
        <v>1297</v>
      </c>
      <c r="C721" s="90" t="s">
        <v>1311</v>
      </c>
      <c r="D721" s="90" t="s">
        <v>1312</v>
      </c>
      <c r="E721" s="90" t="s">
        <v>1079</v>
      </c>
      <c r="F721" s="90" t="s">
        <v>91</v>
      </c>
      <c r="G721" s="8" t="s">
        <v>1313</v>
      </c>
    </row>
    <row r="722">
      <c r="A722" s="90" t="s">
        <v>1297</v>
      </c>
      <c r="B722" s="90" t="s">
        <v>1297</v>
      </c>
      <c r="C722" s="90" t="s">
        <v>1314</v>
      </c>
      <c r="D722" s="90" t="s">
        <v>1315</v>
      </c>
      <c r="E722" s="90" t="s">
        <v>1316</v>
      </c>
      <c r="F722" s="90" t="s">
        <v>91</v>
      </c>
      <c r="G722" s="8" t="s">
        <v>1317</v>
      </c>
    </row>
    <row r="723">
      <c r="A723" s="90" t="s">
        <v>1318</v>
      </c>
      <c r="B723" s="90" t="s">
        <v>1318</v>
      </c>
      <c r="C723" s="90" t="s">
        <v>1319</v>
      </c>
      <c r="D723" s="90" t="s">
        <v>1320</v>
      </c>
      <c r="E723" s="90" t="s">
        <v>1296</v>
      </c>
      <c r="F723" s="90" t="s">
        <v>91</v>
      </c>
      <c r="G723" s="8" t="s">
        <v>17</v>
      </c>
    </row>
    <row r="724">
      <c r="A724" s="90" t="s">
        <v>1321</v>
      </c>
      <c r="B724" s="90" t="s">
        <v>1321</v>
      </c>
      <c r="C724" s="90" t="s">
        <v>1322</v>
      </c>
      <c r="D724" s="90" t="s">
        <v>1323</v>
      </c>
      <c r="E724" s="90" t="s">
        <v>1324</v>
      </c>
      <c r="F724" s="90" t="s">
        <v>91</v>
      </c>
      <c r="G724" s="8" t="s">
        <v>1325</v>
      </c>
    </row>
    <row r="725">
      <c r="A725" s="90" t="s">
        <v>1321</v>
      </c>
      <c r="B725" s="90" t="s">
        <v>1321</v>
      </c>
      <c r="C725" s="90" t="s">
        <v>1326</v>
      </c>
      <c r="D725" s="90" t="s">
        <v>1327</v>
      </c>
      <c r="E725" s="90" t="s">
        <v>1328</v>
      </c>
      <c r="F725" s="90" t="s">
        <v>91</v>
      </c>
      <c r="G725" s="8" t="s">
        <v>17</v>
      </c>
    </row>
    <row r="726">
      <c r="A726" s="90" t="s">
        <v>1321</v>
      </c>
      <c r="B726" s="90" t="s">
        <v>1318</v>
      </c>
      <c r="C726" s="90" t="s">
        <v>1329</v>
      </c>
      <c r="D726" s="90" t="s">
        <v>1330</v>
      </c>
      <c r="E726" s="90" t="s">
        <v>91</v>
      </c>
      <c r="F726" s="90" t="s">
        <v>1331</v>
      </c>
      <c r="G726" s="8" t="s">
        <v>1332</v>
      </c>
    </row>
    <row r="727">
      <c r="A727" s="90" t="s">
        <v>1321</v>
      </c>
      <c r="B727" s="90" t="s">
        <v>1321</v>
      </c>
      <c r="C727" s="90" t="s">
        <v>1333</v>
      </c>
      <c r="D727" s="90" t="s">
        <v>1334</v>
      </c>
      <c r="E727" s="90" t="s">
        <v>1328</v>
      </c>
      <c r="F727" s="90" t="s">
        <v>91</v>
      </c>
      <c r="G727" s="8" t="s">
        <v>17</v>
      </c>
    </row>
    <row r="728">
      <c r="A728" s="90" t="s">
        <v>1335</v>
      </c>
      <c r="B728" s="90" t="s">
        <v>1335</v>
      </c>
      <c r="C728" s="90" t="s">
        <v>1336</v>
      </c>
      <c r="D728" s="90" t="s">
        <v>1337</v>
      </c>
      <c r="E728" s="90" t="s">
        <v>102</v>
      </c>
      <c r="F728" s="90" t="s">
        <v>91</v>
      </c>
      <c r="G728" s="8" t="s">
        <v>1338</v>
      </c>
    </row>
    <row r="729">
      <c r="A729" s="90" t="s">
        <v>1339</v>
      </c>
      <c r="B729" s="90" t="s">
        <v>1339</v>
      </c>
      <c r="C729" s="90" t="s">
        <v>1340</v>
      </c>
      <c r="D729" s="90" t="s">
        <v>1098</v>
      </c>
      <c r="E729" s="90" t="s">
        <v>1341</v>
      </c>
      <c r="F729" s="90" t="s">
        <v>91</v>
      </c>
      <c r="G729" s="8" t="s">
        <v>17</v>
      </c>
    </row>
    <row r="730">
      <c r="A730" s="90" t="s">
        <v>1342</v>
      </c>
      <c r="B730" s="90" t="s">
        <v>1342</v>
      </c>
      <c r="C730" s="90" t="s">
        <v>1343</v>
      </c>
      <c r="D730" s="90" t="s">
        <v>1344</v>
      </c>
      <c r="E730" s="90" t="s">
        <v>1345</v>
      </c>
      <c r="F730" s="90" t="s">
        <v>91</v>
      </c>
      <c r="G730" s="8" t="s">
        <v>1346</v>
      </c>
    </row>
    <row r="731">
      <c r="A731" s="90" t="s">
        <v>1342</v>
      </c>
      <c r="B731" s="90" t="s">
        <v>1342</v>
      </c>
      <c r="C731" s="90" t="s">
        <v>1347</v>
      </c>
      <c r="D731" s="90" t="s">
        <v>1348</v>
      </c>
      <c r="E731" s="90" t="s">
        <v>91</v>
      </c>
      <c r="F731" s="90" t="s">
        <v>1091</v>
      </c>
      <c r="G731" s="8" t="s">
        <v>1349</v>
      </c>
    </row>
    <row r="732">
      <c r="A732" s="90" t="s">
        <v>1350</v>
      </c>
      <c r="B732" s="90" t="s">
        <v>1350</v>
      </c>
      <c r="C732" s="90" t="s">
        <v>1351</v>
      </c>
      <c r="D732" s="90" t="s">
        <v>1352</v>
      </c>
      <c r="E732" s="90" t="s">
        <v>91</v>
      </c>
      <c r="F732" s="90" t="s">
        <v>1353</v>
      </c>
      <c r="G732" s="8" t="s">
        <v>1354</v>
      </c>
    </row>
    <row r="733">
      <c r="A733" s="90" t="s">
        <v>1350</v>
      </c>
      <c r="B733" s="90" t="s">
        <v>1350</v>
      </c>
      <c r="C733" s="90" t="s">
        <v>1355</v>
      </c>
      <c r="D733" s="90" t="s">
        <v>1356</v>
      </c>
      <c r="E733" s="90" t="s">
        <v>91</v>
      </c>
      <c r="F733" s="90" t="s">
        <v>1357</v>
      </c>
      <c r="G733" s="8" t="s">
        <v>1358</v>
      </c>
    </row>
    <row r="734">
      <c r="A734" s="90" t="s">
        <v>1359</v>
      </c>
      <c r="B734" s="90" t="s">
        <v>1359</v>
      </c>
      <c r="C734" s="90" t="s">
        <v>1360</v>
      </c>
      <c r="D734" s="90" t="s">
        <v>1361</v>
      </c>
      <c r="E734" s="90" t="s">
        <v>1362</v>
      </c>
      <c r="F734" s="90" t="s">
        <v>91</v>
      </c>
      <c r="G734" s="8" t="s">
        <v>1363</v>
      </c>
    </row>
    <row r="735">
      <c r="A735" s="90" t="s">
        <v>1359</v>
      </c>
      <c r="B735" s="90" t="s">
        <v>1359</v>
      </c>
      <c r="C735" s="90" t="s">
        <v>1364</v>
      </c>
      <c r="D735" s="90" t="s">
        <v>1365</v>
      </c>
      <c r="E735" s="90" t="s">
        <v>1099</v>
      </c>
      <c r="F735" s="90" t="s">
        <v>91</v>
      </c>
      <c r="G735" s="8" t="s">
        <v>1366</v>
      </c>
    </row>
    <row r="736">
      <c r="A736" s="90" t="s">
        <v>1359</v>
      </c>
      <c r="B736" s="90" t="s">
        <v>1359</v>
      </c>
      <c r="C736" s="90" t="s">
        <v>1367</v>
      </c>
      <c r="D736" s="90" t="s">
        <v>1368</v>
      </c>
      <c r="E736" s="90" t="s">
        <v>91</v>
      </c>
      <c r="F736" s="90" t="s">
        <v>1369</v>
      </c>
      <c r="G736" s="8" t="s">
        <v>1370</v>
      </c>
    </row>
    <row r="737">
      <c r="A737" s="90" t="s">
        <v>1371</v>
      </c>
      <c r="B737" s="90" t="s">
        <v>1371</v>
      </c>
      <c r="C737" s="90" t="s">
        <v>1372</v>
      </c>
      <c r="D737" s="90" t="s">
        <v>1373</v>
      </c>
      <c r="E737" s="90" t="s">
        <v>1374</v>
      </c>
      <c r="F737" s="90" t="s">
        <v>91</v>
      </c>
      <c r="G737" s="8" t="s">
        <v>1375</v>
      </c>
    </row>
    <row r="738">
      <c r="A738" s="90" t="s">
        <v>1371</v>
      </c>
      <c r="B738" s="90" t="s">
        <v>1371</v>
      </c>
      <c r="C738" s="90" t="s">
        <v>1376</v>
      </c>
      <c r="D738" s="90" t="s">
        <v>1377</v>
      </c>
      <c r="E738" s="90" t="s">
        <v>1378</v>
      </c>
      <c r="F738" s="90" t="s">
        <v>91</v>
      </c>
      <c r="G738" s="8" t="s">
        <v>1379</v>
      </c>
    </row>
    <row r="739">
      <c r="A739" s="90" t="s">
        <v>1371</v>
      </c>
      <c r="B739" s="90" t="s">
        <v>1371</v>
      </c>
      <c r="C739" s="90" t="s">
        <v>1380</v>
      </c>
      <c r="D739" s="90" t="s">
        <v>1381</v>
      </c>
      <c r="E739" s="90" t="s">
        <v>1382</v>
      </c>
      <c r="F739" s="90" t="s">
        <v>91</v>
      </c>
      <c r="G739" s="8" t="s">
        <v>1383</v>
      </c>
    </row>
    <row r="740">
      <c r="A740" s="90" t="s">
        <v>1384</v>
      </c>
      <c r="B740" s="90" t="s">
        <v>1384</v>
      </c>
      <c r="C740" s="90" t="s">
        <v>1385</v>
      </c>
      <c r="D740" s="90" t="s">
        <v>1386</v>
      </c>
      <c r="E740" s="90" t="s">
        <v>1387</v>
      </c>
      <c r="F740" s="90" t="s">
        <v>91</v>
      </c>
      <c r="G740" s="8" t="s">
        <v>1388</v>
      </c>
    </row>
    <row r="741">
      <c r="A741" s="90" t="s">
        <v>1384</v>
      </c>
      <c r="B741" s="90" t="s">
        <v>1384</v>
      </c>
      <c r="C741" s="90" t="s">
        <v>1389</v>
      </c>
      <c r="D741" s="90" t="s">
        <v>1390</v>
      </c>
      <c r="E741" s="90" t="s">
        <v>1281</v>
      </c>
      <c r="F741" s="90" t="s">
        <v>91</v>
      </c>
      <c r="G741" s="8" t="s">
        <v>17</v>
      </c>
    </row>
  </sheetData>
  <mergeCells count="100">
    <mergeCell ref="F352:F356"/>
    <mergeCell ref="F362:F367"/>
    <mergeCell ref="F368:F372"/>
    <mergeCell ref="E373:E376"/>
    <mergeCell ref="E377:E380"/>
    <mergeCell ref="E386:E390"/>
    <mergeCell ref="F391:F396"/>
    <mergeCell ref="F401:F405"/>
    <mergeCell ref="F406:F410"/>
    <mergeCell ref="E411:E414"/>
    <mergeCell ref="F419:F423"/>
    <mergeCell ref="F424:F428"/>
    <mergeCell ref="F429:F432"/>
    <mergeCell ref="F433:F437"/>
    <mergeCell ref="F473:F477"/>
    <mergeCell ref="F478:F482"/>
    <mergeCell ref="F483:F487"/>
    <mergeCell ref="F488:F492"/>
    <mergeCell ref="F493:F497"/>
    <mergeCell ref="F498:F502"/>
    <mergeCell ref="F503:F506"/>
    <mergeCell ref="F507:F511"/>
    <mergeCell ref="E512:E514"/>
    <mergeCell ref="F515:F519"/>
    <mergeCell ref="F520:F524"/>
    <mergeCell ref="F525:F529"/>
    <mergeCell ref="E530:E533"/>
    <mergeCell ref="E534:E536"/>
    <mergeCell ref="F537:F541"/>
    <mergeCell ref="F542:F546"/>
    <mergeCell ref="E547:E549"/>
    <mergeCell ref="E550:E553"/>
    <mergeCell ref="F554:F559"/>
    <mergeCell ref="E565:E568"/>
    <mergeCell ref="E569:E572"/>
    <mergeCell ref="F560:F564"/>
    <mergeCell ref="F573:F577"/>
    <mergeCell ref="F578:F583"/>
    <mergeCell ref="F584:F589"/>
    <mergeCell ref="F590:F595"/>
    <mergeCell ref="F596:F600"/>
    <mergeCell ref="F601:F606"/>
    <mergeCell ref="F636:F640"/>
    <mergeCell ref="F644:F648"/>
    <mergeCell ref="F607:F612"/>
    <mergeCell ref="F613:F617"/>
    <mergeCell ref="F618:F622"/>
    <mergeCell ref="F623:F628"/>
    <mergeCell ref="F629:F633"/>
    <mergeCell ref="F634:F635"/>
    <mergeCell ref="E641:E643"/>
    <mergeCell ref="F151:F155"/>
    <mergeCell ref="F156:F161"/>
    <mergeCell ref="F162:F165"/>
    <mergeCell ref="F166:F170"/>
    <mergeCell ref="F171:F174"/>
    <mergeCell ref="F175:F179"/>
    <mergeCell ref="F180:F182"/>
    <mergeCell ref="F183:F188"/>
    <mergeCell ref="F189:F193"/>
    <mergeCell ref="F194:F198"/>
    <mergeCell ref="F199:F203"/>
    <mergeCell ref="F204:F207"/>
    <mergeCell ref="F208:F212"/>
    <mergeCell ref="E213:E217"/>
    <mergeCell ref="E218:E221"/>
    <mergeCell ref="F222:F226"/>
    <mergeCell ref="E227:E230"/>
    <mergeCell ref="F231:F234"/>
    <mergeCell ref="F235:F239"/>
    <mergeCell ref="F240:F244"/>
    <mergeCell ref="F245:F248"/>
    <mergeCell ref="F249:F253"/>
    <mergeCell ref="E254:E258"/>
    <mergeCell ref="F259:F263"/>
    <mergeCell ref="E264:E268"/>
    <mergeCell ref="F269:F274"/>
    <mergeCell ref="F275:F279"/>
    <mergeCell ref="F280:F285"/>
    <mergeCell ref="F286:F289"/>
    <mergeCell ref="F290:F294"/>
    <mergeCell ref="E295:E299"/>
    <mergeCell ref="F300:F304"/>
    <mergeCell ref="E305:E309"/>
    <mergeCell ref="F310:F312"/>
    <mergeCell ref="F313:F315"/>
    <mergeCell ref="F316:F320"/>
    <mergeCell ref="F321:F326"/>
    <mergeCell ref="F327:F331"/>
    <mergeCell ref="E337:E341"/>
    <mergeCell ref="F342:F346"/>
    <mergeCell ref="E347:E351"/>
    <mergeCell ref="E357:E361"/>
    <mergeCell ref="F438:F443"/>
    <mergeCell ref="F444:F447"/>
    <mergeCell ref="E452:E454"/>
    <mergeCell ref="F455:F458"/>
    <mergeCell ref="F459:F463"/>
    <mergeCell ref="E464:E467"/>
    <mergeCell ref="F468:F472"/>
  </mergeCells>
  <hyperlinks>
    <hyperlink r:id="rId1" ref="D39"/>
    <hyperlink r:id="rId2" ref="D40"/>
    <hyperlink r:id="rId3" ref="D49"/>
    <hyperlink r:id="rId4" ref="D84"/>
    <hyperlink r:id="rId5" ref="D85"/>
    <hyperlink r:id="rId6" ref="D87"/>
    <hyperlink r:id="rId7" ref="D88"/>
    <hyperlink r:id="rId8" ref="D92"/>
    <hyperlink r:id="rId9" ref="D93"/>
    <hyperlink r:id="rId10" ref="D96"/>
    <hyperlink r:id="rId11" ref="D97"/>
    <hyperlink r:id="rId12" ref="D100"/>
    <hyperlink r:id="rId13" ref="D101"/>
    <hyperlink r:id="rId14" ref="D121"/>
    <hyperlink r:id="rId15" ref="D124"/>
    <hyperlink r:id="rId16" ref="D134"/>
  </hyperlinks>
  <drawing r:id="rId17"/>
  <tableParts count="1">
    <tablePart r:id="rId19"/>
  </tableParts>
</worksheet>
</file>